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Milestones" sheetId="2" state="visible" r:id="rId4"/>
    <sheet name="Model" sheetId="3" state="visible" r:id="rId5"/>
    <sheet name="CostPerTask" sheetId="4" state="visible" r:id="rId6"/>
    <sheet name="Profit1M" sheetId="5" state="visible" r:id="rId7"/>
    <sheet name="Illustration" sheetId="6" state="visible" r:id="rId8"/>
    <sheet name="Proposals" sheetId="7" state="visible" r:id="rId9"/>
    <sheet name="Assump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<sst xmlns="http://schemas.openxmlformats.org/spreadsheetml/2006/main" count="773" uniqueCount="441">
  <si>
    <t xml:space="preserve">Keplar growth model (editable)</t>
  </si>
  <si>
    <t xml:space="preserve">Purpose: show what traffic, conversion, retention and cost structure each revenue milestone would require. Goals, not forecasts. Nothing here says revenue has been achieved.</t>
  </si>
  <si>
    <t xml:space="preserve">Sheets: CostPerTask (real routing + list prices -&gt; cost per successful task) | Model (inputs, three scenarios, 60 months) | Milestones | Profit1M | Illustration | Proposals | Assumptions.</t>
  </si>
  <si>
    <t xml:space="preserve">Colours: blue text = input you can change. Yellow fill = unsupported assumption. Green fill = verified against a dated source. Black = formula.</t>
  </si>
  <si>
    <t xml:space="preserve">Verified (2026-10-03): Whop billed amounts via the Whop API ($19.99 / $44.99 / $99.99; the site shows $20 / $45 / $99), Whop fees (docs.whop.com/fees), OpenRouter 5.5% credit fee, free-model request limits, the repo's routing and list prices, Vercel Hobby = non-commercial.</t>
  </si>
  <si>
    <t xml:space="preserve">Definitions: MRR = billed subscription revenue per month. ARR run-rate = MRR x 12, before any expense. Cash collected includes one-time sales. Lifetime deals are one-time cash and are never part of MRR or ARR.</t>
  </si>
  <si>
    <t xml:space="preserve">Simplifications: a new payer in month m is billed in month m; churn applies to the previous month's base; conversion is within the month; Free users cost $0 USD but share a limited pool of free-model requests; income tax and sales tax are not modeled.</t>
  </si>
  <si>
    <t xml:space="preserve">Not modeled: annual plans (none exist), taxes, Whop add-on fees (orchestration, billing, tax are optional extras), seasonality, price changes.</t>
  </si>
  <si>
    <t xml:space="preserve">Milestones: what each level needs (targets, not forecasts)</t>
  </si>
  <si>
    <t xml:space="preserve">Left: when each scenario reaches the milestone. Below: the steady-state requirement, i.e. how many customers, new payers per month and qualified visits per month it takes to HOLD that MRR given the scenario's churn and conversion. Every conversion rate is an unsupported assumption until experiments E1-E5 report.</t>
  </si>
  <si>
    <t xml:space="preserve">Scenario / milestone</t>
  </si>
  <si>
    <t xml:space="preserve">Month reached</t>
  </si>
  <si>
    <t xml:space="preserve">MRR then</t>
  </si>
  <si>
    <t xml:space="preserve">Paying customers</t>
  </si>
  <si>
    <t xml:space="preserve">Qualified visits / mo</t>
  </si>
  <si>
    <t xml:space="preserve">New payers / mo</t>
  </si>
  <si>
    <t xml:space="preserve">Visit to paid</t>
  </si>
  <si>
    <t xml:space="preserve">Conservative</t>
  </si>
  <si>
    <t xml:space="preserve">Base</t>
  </si>
  <si>
    <t xml:space="preserve">Ambitious</t>
  </si>
  <si>
    <t xml:space="preserve">Steady-state requirement (holds the MRR level, per scenario)</t>
  </si>
  <si>
    <t xml:space="preserve">Target</t>
  </si>
  <si>
    <t xml:space="preserve">Scenario</t>
  </si>
  <si>
    <t xml:space="preserve">MRR target</t>
  </si>
  <si>
    <t xml:space="preserve">Blended billed ARPU</t>
  </si>
  <si>
    <t xml:space="preserve">Customers needed</t>
  </si>
  <si>
    <t xml:space="preserve">Blended monthly churn (by customers)</t>
  </si>
  <si>
    <t xml:space="preserve">New payers / month to hold</t>
  </si>
  <si>
    <t xml:space="preserve">Qualified visits / month to hold</t>
  </si>
  <si>
    <t xml:space="preserve">Of which: visits needed for growth (+10%/mo)</t>
  </si>
  <si>
    <t xml:space="preserve">$1,000 MRR</t>
  </si>
  <si>
    <t xml:space="preserve">$10,000 MRR</t>
  </si>
  <si>
    <t xml:space="preserve">$100,000 MRR</t>
  </si>
  <si>
    <t xml:space="preserve">$1M ARR</t>
  </si>
  <si>
    <t xml:space="preserve">$5M ARR</t>
  </si>
  <si>
    <t xml:space="preserve">Reading it: 'to hold' is the traffic that replaces churned customers; growing needs more. Column J adds the extra new payers needed to keep growing 10% a month at that size. Compare these visit counts with what two founders and a $0 budget can plausibly earn; no audience size is claimed.</t>
  </si>
  <si>
    <t xml:space="preserve">Annual summary by scenario (sums of the monthly columns)</t>
  </si>
  <si>
    <t xml:space="preserve">Scenario / line</t>
  </si>
  <si>
    <t xml:space="preserve">Year 1</t>
  </si>
  <si>
    <t xml:space="preserve">Year 2</t>
  </si>
  <si>
    <t xml:space="preserve">Year 3</t>
  </si>
  <si>
    <t xml:space="preserve">Year 4</t>
  </si>
  <si>
    <t xml:space="preserve">Year 5</t>
  </si>
  <si>
    <t xml:space="preserve">Net recurring revenue</t>
  </si>
  <si>
    <t xml:space="preserve">One-time sales (never recurring)</t>
  </si>
  <si>
    <t xml:space="preserve">Gross profit (contribution)</t>
  </si>
  <si>
    <t xml:space="preserve">Operating profit</t>
  </si>
  <si>
    <t xml:space="preserve">MRR at year end</t>
  </si>
  <si>
    <t xml:space="preserve">Keplar revenue and cost model: 60 monthly periods, three scenarios (targets and what-ifs, NOT forecasts)</t>
  </si>
  <si>
    <t xml:space="preserve">Blue = input you can edit. Yellow = unsupported assumption (no Keplar data yet). Green = verified against a source on 2026-10-03. Black = formula. Currency USD. MRR/ARR here are billed subscription revenue; lifetime deals never count as recurring.</t>
  </si>
  <si>
    <t xml:space="preserve">Input</t>
  </si>
  <si>
    <t xml:space="preserve">Unit</t>
  </si>
  <si>
    <t xml:space="preserve">Evidence</t>
  </si>
  <si>
    <t xml:space="preserve">Source / experiment that would validate it</t>
  </si>
  <si>
    <t xml:space="preserve">Prices and payment costs (Whop)</t>
  </si>
  <si>
    <t xml:space="preserve">Lite: amount Whop bills per month (site shows $20)</t>
  </si>
  <si>
    <t xml:space="preserve">$</t>
  </si>
  <si>
    <t xml:space="preserve">VERIFIED</t>
  </si>
  <si>
    <t xml:space="preserve">Whop API plan_qpgb6JV0jhQGj renewal price, read 2026-10-03</t>
  </si>
  <si>
    <t xml:space="preserve">Plus: billed per month</t>
  </si>
  <si>
    <t xml:space="preserve">Whop API plan_wd9Xs4iDlwvDi</t>
  </si>
  <si>
    <t xml:space="preserve">Pro: billed per month (site shows $99)</t>
  </si>
  <si>
    <t xml:space="preserve">Whop API plan_M6ztgSJDucMJA renewal $99.99</t>
  </si>
  <si>
    <t xml:space="preserve">Whop card fee, percent of each payment</t>
  </si>
  <si>
    <t xml:space="preserve">%</t>
  </si>
  <si>
    <t xml:space="preserve">docs.whop.com/fees, 2026-10-03: 2.7% + $0.30 domestic card</t>
  </si>
  <si>
    <t xml:space="preserve">Whop card fee, fixed per payment</t>
  </si>
  <si>
    <t xml:space="preserve">docs.whop.com/fees</t>
  </si>
  <si>
    <t xml:space="preserve">Share of payments that are international cards</t>
  </si>
  <si>
    <t xml:space="preserve">ASSUMPTION</t>
  </si>
  <si>
    <t xml:space="preserve">No payment data yet. E8: read the real mix from Whop after the first 20 payments</t>
  </si>
  <si>
    <t xml:space="preserve">Extra fee on international cards + FX (1.5% + 1.0%)</t>
  </si>
  <si>
    <t xml:space="preserve">docs.whop.com/fees (international +1.5%, currency conversion +1%)</t>
  </si>
  <si>
    <t xml:space="preserve">Dispute fee per chargeback</t>
  </si>
  <si>
    <t xml:space="preserve">Share of payments disputed</t>
  </si>
  <si>
    <t xml:space="preserve">Track from Whop: disputes / payments</t>
  </si>
  <si>
    <t xml:space="preserve">Refunds, share of billed revenue (fees are not returned)</t>
  </si>
  <si>
    <t xml:space="preserve">Track refunds in /admin/growth; E8</t>
  </si>
  <si>
    <t xml:space="preserve">Share of new paying customers who get an introductory discount</t>
  </si>
  <si>
    <t xml:space="preserve">Only if a promo is approved (OFFER.md); none is live</t>
  </si>
  <si>
    <t xml:space="preserve">Discount depth on that first payment</t>
  </si>
  <si>
    <t xml:space="preserve">OFFER.md proposal; not live</t>
  </si>
  <si>
    <t xml:space="preserve">OpenRouter fee on credit purchases (provider spend)</t>
  </si>
  <si>
    <t xml:space="preserve">OpenRouter FAQ/pricing: 5.5% fee on credit purchases, 2026-10-03</t>
  </si>
  <si>
    <t xml:space="preserve">Acquisition and conversion funnel (no Keplar data yet: everything here is an ASSUMPTION)</t>
  </si>
  <si>
    <t xml:space="preserve">Qualified visits in month 1 (organic + community, $0 spend)</t>
  </si>
  <si>
    <t xml:space="preserve">visits/mo</t>
  </si>
  <si>
    <t xml:space="preserve">Qualified = reached a public page and stayed. E1/E2: measure from /admin/growth after the first 4 weeks</t>
  </si>
  <si>
    <t xml:space="preserve">Monthly growth of qualified visits</t>
  </si>
  <si>
    <t xml:space="preserve">%/mo</t>
  </si>
  <si>
    <t xml:space="preserve">Needs search + demo content to compound; E1, E2</t>
  </si>
  <si>
    <t xml:space="preserve">Ceiling on organic visits (founder time / channel size)</t>
  </si>
  <si>
    <t xml:space="preserve">Unknown audience sizes; no figure is claimed</t>
  </si>
  <si>
    <t xml:space="preserve">Paid acquisition spend per month (PROPOSAL only; $0 budget today)</t>
  </si>
  <si>
    <t xml:space="preserve">$/mo</t>
  </si>
  <si>
    <t xml:space="preserve">Budget is $0. Change only after a budget, loss limit and authorization exist</t>
  </si>
  <si>
    <t xml:space="preserve">Cost per qualified visit if paid is ever used</t>
  </si>
  <si>
    <t xml:space="preserve">Not tested; E11 would measure it with a capped test</t>
  </si>
  <si>
    <t xml:space="preserve">Visit to account created</t>
  </si>
  <si>
    <t xml:space="preserve">Anonymous use is allowed, so some visitors never sign up. Measure: seo_events landing_view vs signup_complete</t>
  </si>
  <si>
    <t xml:space="preserve">Account to activated (answer, then a deliberate action)</t>
  </si>
  <si>
    <t xml:space="preserve">Definition in docs/growth/ACTIVATION.md. Measure: growth_events</t>
  </si>
  <si>
    <t xml:space="preserve">Activated user to paying within the month</t>
  </si>
  <si>
    <t xml:space="preserve">Price is &gt;2x single-model subscriptions at Plus. E4/E5 test the offer</t>
  </si>
  <si>
    <t xml:space="preserve">New payers choosing Lite</t>
  </si>
  <si>
    <t xml:space="preserve">Measure plan mix at the first 10 payers</t>
  </si>
  <si>
    <t xml:space="preserve">New payers choosing Plus</t>
  </si>
  <si>
    <t xml:space="preserve">New payers choosing Pro (remainder)</t>
  </si>
  <si>
    <t xml:space="preserve">FORMULA</t>
  </si>
  <si>
    <t xml:space="preserve">Formula: 1 minus Lite minus Plus</t>
  </si>
  <si>
    <t xml:space="preserve">Referral: invites sent per paying customer per month (OFF)</t>
  </si>
  <si>
    <t xml:space="preserve">per mo</t>
  </si>
  <si>
    <t xml:space="preserve">No reward or invite program is live. Costed proposal in SHARING.md</t>
  </si>
  <si>
    <t xml:space="preserve">Referral: invited person creates an account</t>
  </si>
  <si>
    <t xml:space="preserve">Only relevant if the proposal is approved</t>
  </si>
  <si>
    <t xml:space="preserve">Referral: reward cost per converted invitee</t>
  </si>
  <si>
    <t xml:space="preserve">No reward is offered today</t>
  </si>
  <si>
    <t xml:space="preserve">Retention (all ASSUMPTIONS: no cohort exists yet)</t>
  </si>
  <si>
    <t xml:space="preserve">Monthly churn, Lite</t>
  </si>
  <si>
    <t xml:space="preserve">Fix churn causes before expanding acquisition (RETENTION.md). Measure by cohort</t>
  </si>
  <si>
    <t xml:space="preserve">Monthly churn, Plus</t>
  </si>
  <si>
    <t xml:space="preserve">Monthly churn, Pro</t>
  </si>
  <si>
    <t xml:space="preserve">Expansion: add-ons, top-ups and upgrades as a share of subscription MRR</t>
  </si>
  <si>
    <t xml:space="preserve">No top-up product exists yet. Treat 0% as the only verified value</t>
  </si>
  <si>
    <t xml:space="preserve">Usage and cost to serve</t>
  </si>
  <si>
    <t xml:space="preserve">Provider cost per successful paid task (blended, from CostPerTask)</t>
  </si>
  <si>
    <t xml:space="preserve">REPO</t>
  </si>
  <si>
    <t xml:space="preserve">CostPerTask sheet: real routing + list prices; tokens are assumptions</t>
  </si>
  <si>
    <t xml:space="preserve">Successful tasks per month, Lite customer</t>
  </si>
  <si>
    <t xml:space="preserve">tasks</t>
  </si>
  <si>
    <t xml:space="preserve">Allowance supports ~400 moderate tasks. Measure from compute_ledger</t>
  </si>
  <si>
    <t xml:space="preserve">Successful tasks per month, Plus customer</t>
  </si>
  <si>
    <t xml:space="preserve">Successful tasks per month, Pro customer</t>
  </si>
  <si>
    <t xml:space="preserve">Other metered use per month (images, Deep Research), Lite</t>
  </si>
  <si>
    <t xml:space="preserve">Lite excludes Deep Research and images (docs/lite-plan.md)</t>
  </si>
  <si>
    <t xml:space="preserve">Other metered use per month, Plus</t>
  </si>
  <si>
    <t xml:space="preserve">Image High wide $0.052; Deep Research typical $2.40</t>
  </si>
  <si>
    <t xml:space="preserve">Other metered use per month, Pro</t>
  </si>
  <si>
    <t xml:space="preserve">Free users: monthly drop-off</t>
  </si>
  <si>
    <t xml:space="preserve">Measure 7/30-day return</t>
  </si>
  <si>
    <t xml:space="preserve">Free questions per active Free user per month</t>
  </si>
  <si>
    <t xml:space="preserve">q/mo</t>
  </si>
  <si>
    <t xml:space="preserve">Limit is 50/day</t>
  </si>
  <si>
    <t xml:space="preserve">Free questions per day the free-model pool can serve</t>
  </si>
  <si>
    <t xml:space="preserve">q/day</t>
  </si>
  <si>
    <t xml:space="preserve">CostPerTask section F (1,000 free-model requests/day / ~6.5 per question)</t>
  </si>
  <si>
    <t xml:space="preserve">Cost of one overflow question on a cheap paid model</t>
  </si>
  <si>
    <t xml:space="preserve">CostPerTask section F</t>
  </si>
  <si>
    <t xml:space="preserve">Serve overflow Free questions with the cheap paid fallback? 1 = yes (PROPOSAL), 0 = no (today)</t>
  </si>
  <si>
    <t xml:space="preserve">0/1</t>
  </si>
  <si>
    <t xml:space="preserve">Today overflow is refused/degraded, not paid for. OFFER.md</t>
  </si>
  <si>
    <t xml:space="preserve">Fixed costs and people</t>
  </si>
  <si>
    <t xml:space="preserve">Fixed infrastructure per month (Vercel Pro $20 + Neon + email + domain)</t>
  </si>
  <si>
    <t xml:space="preserve">ESTIMATE</t>
  </si>
  <si>
    <t xml:space="preserve">Vercel Pro is required for commercial use (vercel.com/docs/limits/fair-use-guidelines); not yet purchased. Neon Launch is usage-based ($0.106/CU-h, $0.35/GB-mo, neon.com/pricing)</t>
  </si>
  <si>
    <t xml:space="preserve">Variable infrastructure per monthly active user (paying + Free)</t>
  </si>
  <si>
    <t xml:space="preserve">Functions, DB storage, bandwidth</t>
  </si>
  <si>
    <t xml:space="preserve">Support minutes per paying customer per month</t>
  </si>
  <si>
    <t xml:space="preserve">min</t>
  </si>
  <si>
    <t xml:space="preserve">Count real emails/month from week 1</t>
  </si>
  <si>
    <t xml:space="preserve">Value of support time</t>
  </si>
  <si>
    <t xml:space="preserve">$/hour</t>
  </si>
  <si>
    <t xml:space="preserve">Founder time is not cash today; this prices it</t>
  </si>
  <si>
    <t xml:space="preserve">Other fixed costs (accounting, legal, tools)</t>
  </si>
  <si>
    <t xml:space="preserve">Founder pay per month (both founders) in the baseline</t>
  </si>
  <si>
    <t xml:space="preserve">$0 today; see Profit1M for a paid-team case</t>
  </si>
  <si>
    <t xml:space="preserve">One-time sales (lifetime deals): never recurring, always a service obligation. OFF; proposal only</t>
  </si>
  <si>
    <t xml:space="preserve">Lifetime-deal units sold per month</t>
  </si>
  <si>
    <t xml:space="preserve">units</t>
  </si>
  <si>
    <t xml:space="preserve">No lifetime deal exists. OFFER.md explains why it is not recommended now</t>
  </si>
  <si>
    <t xml:space="preserve">Lifetime-deal price</t>
  </si>
  <si>
    <t xml:space="preserve">Provider cost to serve one lifetime customer per month</t>
  </si>
  <si>
    <t xml:space="preserve">Plus-level usage</t>
  </si>
  <si>
    <t xml:space="preserve">CONSERVATIVE SCENARIO</t>
  </si>
  <si>
    <t xml:space="preserve">Milestone</t>
  </si>
  <si>
    <t xml:space="preserve">Qualified visits / month</t>
  </si>
  <si>
    <t xml:space="preserve">New payers / month</t>
  </si>
  <si>
    <t xml:space="preserve">Visit to paid (blended)</t>
  </si>
  <si>
    <t xml:space="preserve">$1M ARR run-rate ($83,333 MRR)</t>
  </si>
  <si>
    <t xml:space="preserve">$5M ARR run-rate ($416,667 MRR)</t>
  </si>
  <si>
    <t xml:space="preserve">Month</t>
  </si>
  <si>
    <t xml:space="preserve">Organic qualified visits</t>
  </si>
  <si>
    <t xml:space="preserve">Paid visits (proposal, $0 today)</t>
  </si>
  <si>
    <t xml:space="preserve">Referral signups (off)</t>
  </si>
  <si>
    <t xml:space="preserve">Qualified visits, total</t>
  </si>
  <si>
    <t xml:space="preserve">New accounts</t>
  </si>
  <si>
    <t xml:space="preserve">Activated users</t>
  </si>
  <si>
    <t xml:space="preserve">New paying customers</t>
  </si>
  <si>
    <t xml:space="preserve">  new Lite</t>
  </si>
  <si>
    <t xml:space="preserve">  new Plus</t>
  </si>
  <si>
    <t xml:space="preserve">  new Pro</t>
  </si>
  <si>
    <t xml:space="preserve">Active Lite</t>
  </si>
  <si>
    <t xml:space="preserve">Active Plus</t>
  </si>
  <si>
    <t xml:space="preserve">Active Pro</t>
  </si>
  <si>
    <t xml:space="preserve">Active paying customers</t>
  </si>
  <si>
    <t xml:space="preserve">Customers lost this month</t>
  </si>
  <si>
    <t xml:space="preserve">Subscription MRR (billed price x active)</t>
  </si>
  <si>
    <t xml:space="preserve">MRR incl. expansion (recurring only)</t>
  </si>
  <si>
    <t xml:space="preserve">ARR run-rate = MRR x 12 (before any expense; not earnings)</t>
  </si>
  <si>
    <t xml:space="preserve">Introductory discounts given</t>
  </si>
  <si>
    <t xml:space="preserve">Recurring billings after discounts (cash before refunds/fees)</t>
  </si>
  <si>
    <t xml:space="preserve">Refunds</t>
  </si>
  <si>
    <t xml:space="preserve">One-time sales (lifetime deals; NOT recurring)</t>
  </si>
  <si>
    <t xml:space="preserve">Cash collected (net recurring + one-time, before processor fees)</t>
  </si>
  <si>
    <t xml:space="preserve">Whop payment fees + disputes</t>
  </si>
  <si>
    <t xml:space="preserve">Provider cost: answers</t>
  </si>
  <si>
    <t xml:space="preserve">Provider cost: images / Deep Research</t>
  </si>
  <si>
    <t xml:space="preserve">Provider cost: lifetime-deal customers (obligation)</t>
  </si>
  <si>
    <t xml:space="preserve">OpenRouter 5.5% credit-purchase fee</t>
  </si>
  <si>
    <t xml:space="preserve">Gross profit = contribution after serving users</t>
  </si>
  <si>
    <t xml:space="preserve">Gross margin on net revenue</t>
  </si>
  <si>
    <t xml:space="preserve">Free active users</t>
  </si>
  <si>
    <t xml:space="preserve">Free questions asked</t>
  </si>
  <si>
    <t xml:space="preserve">Free question capacity (free-model pool)</t>
  </si>
  <si>
    <t xml:space="preserve">Free capacity used (&gt;100% = Free answers degrade or are refused)</t>
  </si>
  <si>
    <t xml:space="preserve">Free questions over capacity</t>
  </si>
  <si>
    <t xml:space="preserve">Cost of serving overflow with cheap paid models (only if switched on)</t>
  </si>
  <si>
    <t xml:space="preserve">Infrastructure</t>
  </si>
  <si>
    <t xml:space="preserve">Support (time valued)</t>
  </si>
  <si>
    <t xml:space="preserve">Paid marketing</t>
  </si>
  <si>
    <t xml:space="preserve">Referral rewards</t>
  </si>
  <si>
    <t xml:space="preserve">Other fixed costs</t>
  </si>
  <si>
    <t xml:space="preserve">Founder pay</t>
  </si>
  <si>
    <t xml:space="preserve">OPERATING PROFIT (cash view, after the lines above)</t>
  </si>
  <si>
    <t xml:space="preserve">Cumulative operating profit</t>
  </si>
  <si>
    <t xml:space="preserve">CAC (marketing + referral per new payer; $0 spend = $0)</t>
  </si>
  <si>
    <t xml:space="preserve">Average billed revenue per active customer</t>
  </si>
  <si>
    <t xml:space="preserve">MRR &gt;= $1,000 (flag)</t>
  </si>
  <si>
    <t xml:space="preserve">MRR &gt;= $10,000 (flag)</t>
  </si>
  <si>
    <t xml:space="preserve">MRR &gt;= $100,000 (flag)</t>
  </si>
  <si>
    <t xml:space="preserve">ARR run-rate &gt;= $1,000,000 (flag)</t>
  </si>
  <si>
    <t xml:space="preserve">ARR run-rate &gt;= $5,000,000 (flag)</t>
  </si>
  <si>
    <t xml:space="preserve">BASE SCENARIO</t>
  </si>
  <si>
    <t xml:space="preserve">AMBITIOUS SCENARIO</t>
  </si>
  <si>
    <t xml:space="preserve">Model cost per successful task (from the repo's real routing and list prices)</t>
  </si>
  <si>
    <t xml:space="preserve">Sources: src/lib/orchestration/{router,live-catalog,live-synthesizer,extractor,verifier}.ts, docs/cost-model.md. Prices are OpenRouter/provider list prices dated 2026-09-28 in the repo. Token counts are ASSUMPTIONS (yellow) taken from the classifier/router estimates for a ~640-token prompt; replace them with the ledger's real averages once paid traffic exists.</t>
  </si>
  <si>
    <t xml:space="preserve">A. Price table ($ per 1M tokens)</t>
  </si>
  <si>
    <t xml:space="preserve">Model</t>
  </si>
  <si>
    <t xml:space="preserve">Input $/1M</t>
  </si>
  <si>
    <t xml:space="preserve">Output $/1M</t>
  </si>
  <si>
    <t xml:space="preserve">Role in the pipeline</t>
  </si>
  <si>
    <t xml:space="preserve">deepseek-v4-flash</t>
  </si>
  <si>
    <t xml:space="preserve">panel (cheapest)</t>
  </si>
  <si>
    <t xml:space="preserve">gpt-6-luna</t>
  </si>
  <si>
    <t xml:space="preserve">panel + response extractor</t>
  </si>
  <si>
    <t xml:space="preserve">nemotron-3-super</t>
  </si>
  <si>
    <t xml:space="preserve">panel</t>
  </si>
  <si>
    <t xml:space="preserve">qwen3.8-flash</t>
  </si>
  <si>
    <t xml:space="preserve">panel (complex only)</t>
  </si>
  <si>
    <t xml:space="preserve">glm-5.3-flash</t>
  </si>
  <si>
    <t xml:space="preserve">gpt-oss-20b</t>
  </si>
  <si>
    <t xml:space="preserve">simple answers + verifier</t>
  </si>
  <si>
    <t xml:space="preserve">gemini-3.8-flash</t>
  </si>
  <si>
    <t xml:space="preserve">synthesizer / judge</t>
  </si>
  <si>
    <t xml:space="preserve">B. Token and behaviour assumptions (yellow = unsupported until the compute ledger has real averages)</t>
  </si>
  <si>
    <t xml:space="preserve">Prompt input tokens per call (question + 600-token system/context)</t>
  </si>
  <si>
    <t xml:space="preserve">Panel answer tokens, moderate (router estimate 900)</t>
  </si>
  <si>
    <t xml:space="preserve">Panel answer tokens, complex (router estimate 1,600)</t>
  </si>
  <si>
    <t xml:space="preserve">Simple single-model answer tokens</t>
  </si>
  <si>
    <t xml:space="preserve">Billed-output multiplier for reasoning tokens (low effort)</t>
  </si>
  <si>
    <t xml:space="preserve">Extractor output tokens</t>
  </si>
  <si>
    <t xml:space="preserve">Verifier output tokens</t>
  </si>
  <si>
    <t xml:space="preserve">Synthesizer extra input tokens (extraction + verification notes)</t>
  </si>
  <si>
    <t xml:space="preserve">Synthesizer output tokens (final answer)</t>
  </si>
  <si>
    <t xml:space="preserve">Share of complex questions where the judge also runs</t>
  </si>
  <si>
    <t xml:space="preserve">Retry / partial-failure overhead on cost</t>
  </si>
  <si>
    <t xml:space="preserve">Share of runs that fail after spending</t>
  </si>
  <si>
    <t xml:space="preserve">Fraction of a run's cost already spent when it fails</t>
  </si>
  <si>
    <t xml:space="preserve">Mix of paid tasks: simple (single model)</t>
  </si>
  <si>
    <t xml:space="preserve">Mix: light-moderate (2-model panel)</t>
  </si>
  <si>
    <t xml:space="preserve">Mix: moderate (3-model panel)</t>
  </si>
  <si>
    <t xml:space="preserve">Mix: complex (5-model panel + verifier + judge)</t>
  </si>
  <si>
    <t xml:space="preserve">1 credit = provider cost ($) (docs/cost-model.md)</t>
  </si>
  <si>
    <t xml:space="preserve">Meter margin multiplier (limits.ts METER_MARGIN)</t>
  </si>
  <si>
    <t xml:space="preserve">C1. Simple question (one model, nothing to compare)</t>
  </si>
  <si>
    <t xml:space="preserve">Call</t>
  </si>
  <si>
    <t xml:space="preserve">Tokens in</t>
  </si>
  <si>
    <t xml:space="preserve">Tokens out</t>
  </si>
  <si>
    <t xml:space="preserve">Cost $</t>
  </si>
  <si>
    <t xml:space="preserve">Panel answer</t>
  </si>
  <si>
    <t xml:space="preserve">Total provider cost, one run</t>
  </si>
  <si>
    <t xml:space="preserve">C2. Light-moderate question (2-model panel)</t>
  </si>
  <si>
    <t xml:space="preserve">Response extractor (stances + claims)</t>
  </si>
  <si>
    <t xml:space="preserve">Verifier (cheap reviewer)</t>
  </si>
  <si>
    <t xml:space="preserve">Synthesizer (writes the one answer)</t>
  </si>
  <si>
    <t xml:space="preserve">C3. Moderate question (3-model panel)</t>
  </si>
  <si>
    <t xml:space="preserve">C4. Complex question (5-model panel)</t>
  </si>
  <si>
    <t xml:space="preserve">Judge review (runs on a share of questions)</t>
  </si>
  <si>
    <t xml:space="preserve">D. Blended cost per successful task (paid plans)</t>
  </si>
  <si>
    <t xml:space="preserve">Blended cost per run (mix-weighted)</t>
  </si>
  <si>
    <t xml:space="preserve">Mix check (must be 100%)</t>
  </si>
  <si>
    <t xml:space="preserve">With retry overhead</t>
  </si>
  <si>
    <t xml:space="preserve">Cost per SUCCESSFUL task (adds the cost of runs that fail after spending)</t>
  </si>
  <si>
    <t xml:space="preserve">Credits charged per successful task (ceil(cost x margin / $0.002))</t>
  </si>
  <si>
    <t xml:space="preserve">Router-only estimate for comparison (panel+verifier+judge; CostAwareRouter, 2026-10-03): moderate $0.00121, complex $0.01427, simple $0.00004</t>
  </si>
  <si>
    <t xml:space="preserve">E. What each plan's allowance buys (docs/cost-model.md)</t>
  </si>
  <si>
    <t xml:space="preserve">Plan</t>
  </si>
  <si>
    <t xml:space="preserve">Billed $/mo (Whop)</t>
  </si>
  <si>
    <t xml:space="preserve">Credits / month</t>
  </si>
  <si>
    <t xml:space="preserve">Max provider $ (credits x $0.002 / 1.1)</t>
  </si>
  <si>
    <t xml:space="preserve">Successful tasks per allowance</t>
  </si>
  <si>
    <t xml:space="preserve">Worst-case Whop fee $</t>
  </si>
  <si>
    <t xml:space="preserve">Worst-case margin $</t>
  </si>
  <si>
    <t xml:space="preserve">Worst-case margin %</t>
  </si>
  <si>
    <t xml:space="preserve">Lite</t>
  </si>
  <si>
    <t xml:space="preserve">Plus</t>
  </si>
  <si>
    <t xml:space="preserve">Pro</t>
  </si>
  <si>
    <t xml:space="preserve">Worst case = the customer spends the whole monthly allowance (before OpenRouter's 5.5% credit fee, refunds, support). The 5-hour/weekly windows, per-request caps and cooldown limit how fast that can happen.</t>
  </si>
  <si>
    <t xml:space="preserve">F. Free users (free models only) and the capacity limit</t>
  </si>
  <si>
    <t xml:space="preserve">Free-model calls per Free question (3 panel + extractor + verifier + synthesizer + ~0.5 retry)</t>
  </si>
  <si>
    <t xml:space="preserve">OpenRouter free-model requests per day (account with credits purchased; 50/day without) (openrouter.ai/docs/api-reference/limits)</t>
  </si>
  <si>
    <t xml:space="preserve">Free questions per day the whole product can serve</t>
  </si>
  <si>
    <t xml:space="preserve">Free questions per month</t>
  </si>
  <si>
    <t xml:space="preserve">USD cost of a Free question (free models)</t>
  </si>
  <si>
    <t xml:space="preserve">Cheap paid fallback for one overflow question (all six calls on gpt-oss-20b, moderate tokens)</t>
  </si>
  <si>
    <t xml:space="preserve">Other metered: one High-quality wide image (docs/cost-model.md table price)</t>
  </si>
  <si>
    <t xml:space="preserve">Other metered: one Deep Research run, typical (docs/cost-model.md)</t>
  </si>
  <si>
    <t xml:space="preserve">Every free question uses the same pool of free-model requests. More Free users do not raise the pool: the product serves about the number in the 'per day' row, then answers degrade or are refused. This is the biggest scale limit on a Free-led funnel (docs/growth/BASELINE.md).</t>
  </si>
  <si>
    <t xml:space="preserve">What it takes to earn $1,000,000 a year in operating profit (a structure, not a forecast)</t>
  </si>
  <si>
    <t xml:space="preserve">Steady state: contribution per paying customer per month, minus fixed costs and pay, must add up to the target. Two cases per scenario: (A) before any pay to the founders, (B) after paying the team the amounts in the yellow cells. Change any blue cell.</t>
  </si>
  <si>
    <t xml:space="preserve">Target annual operating profit</t>
  </si>
  <si>
    <t xml:space="preserve">Team cost per year in case B (2 founders + 1 support/contract hire; ASSUMPTION)</t>
  </si>
  <si>
    <t xml:space="preserve">Marketing per month in case B (paid acquisition is a proposal; ASSUMPTION)</t>
  </si>
  <si>
    <t xml:space="preserve">Per paying customer, per month</t>
  </si>
  <si>
    <t xml:space="preserve">Blended billed revenue (mix x price x (1+expansion))</t>
  </si>
  <si>
    <t xml:space="preserve">less refunds</t>
  </si>
  <si>
    <t xml:space="preserve">less payment fees and disputes</t>
  </si>
  <si>
    <t xml:space="preserve">less provider cost: answers</t>
  </si>
  <si>
    <t xml:space="preserve">less provider cost: images / Deep Research</t>
  </si>
  <si>
    <t xml:space="preserve">less OpenRouter 5.5% fee</t>
  </si>
  <si>
    <t xml:space="preserve">less support (time valued)</t>
  </si>
  <si>
    <t xml:space="preserve">less variable infrastructure (paying customer only)</t>
  </si>
  <si>
    <t xml:space="preserve">Contribution per paying customer per month (sum of the lines above)</t>
  </si>
  <si>
    <t xml:space="preserve">Required structure</t>
  </si>
  <si>
    <t xml:space="preserve">A. Fixed costs per year before founder pay</t>
  </si>
  <si>
    <t xml:space="preserve">A. Paying customers needed</t>
  </si>
  <si>
    <t xml:space="preserve">A. MRR needed</t>
  </si>
  <si>
    <t xml:space="preserve">A. ARR run-rate needed</t>
  </si>
  <si>
    <t xml:space="preserve">A. New payers per month just to replace churn</t>
  </si>
  <si>
    <t xml:space="preserve">A. Qualified visits per month to replace churn (visit-to-paid from scenario)</t>
  </si>
  <si>
    <t xml:space="preserve">B. Fixed + team + marketing per year</t>
  </si>
  <si>
    <t xml:space="preserve">B. Paying customers needed</t>
  </si>
  <si>
    <t xml:space="preserve">B. MRR needed</t>
  </si>
  <si>
    <t xml:space="preserve">B. ARR run-rate needed</t>
  </si>
  <si>
    <t xml:space="preserve">B. New payers per month to replace churn</t>
  </si>
  <si>
    <t xml:space="preserve">B. Qualified visits per month to replace churn</t>
  </si>
  <si>
    <t xml:space="preserve">Blended monthly churn</t>
  </si>
  <si>
    <t xml:space="preserve">Visit to paid conversion</t>
  </si>
  <si>
    <t xml:space="preserve">Contribution margin on billed revenue</t>
  </si>
  <si>
    <t xml:space="preserve">Notes: (1) Operating profit here is a steady-state cash view, before income tax. (2) It ignores the ramp: reaching these customer counts takes time and a growing audience (see Milestones). (3) Marketing in case B is a placeholder for a budget that does not exist; paid acquisition is a proposal. (4) Heavy users, price changes, refunds above plan and free-model capacity are not stress-tested here: change the blue inputs on Model.</t>
  </si>
  <si>
    <t xml:space="preserve">The 2,000 / 10,000 customer illustration: run rate, not earnings</t>
  </si>
  <si>
    <t xml:space="preserve">Customers x price, annualized, is a revenue RUN RATE before any expense. It is a goal to be tested, not a forecast, and not profit. The lower half subtracts the Base-scenario cost to serve one Plus customer.</t>
  </si>
  <si>
    <t xml:space="preserve">2,000 customers</t>
  </si>
  <si>
    <t xml:space="preserve">10,000 customers</t>
  </si>
  <si>
    <t xml:space="preserve">Price per month used in the illustration ($45 Plus; Whop bills $44.99)</t>
  </si>
  <si>
    <t xml:space="preserve">MRR</t>
  </si>
  <si>
    <t xml:space="preserve">ARR run-rate (MRR x 12) BEFORE expenses</t>
  </si>
  <si>
    <t xml:space="preserve">Same customers at Base-scenario unit costs, per month</t>
  </si>
  <si>
    <t xml:space="preserve">Payment fees (2.7% + $0.30, international share, disputes)</t>
  </si>
  <si>
    <t xml:space="preserve">Provider cost: answers (Plus usage)</t>
  </si>
  <si>
    <t xml:space="preserve">Provider cost: images / Deep Research (Plus)</t>
  </si>
  <si>
    <t xml:space="preserve">OpenRouter 5.5% fee</t>
  </si>
  <si>
    <t xml:space="preserve">Infrastructure (fixed + variable)</t>
  </si>
  <si>
    <t xml:space="preserve">Other fixed</t>
  </si>
  <si>
    <t xml:space="preserve">Operating profit per month (before founder pay and income tax)</t>
  </si>
  <si>
    <t xml:space="preserve">Operating profit per year</t>
  </si>
  <si>
    <t xml:space="preserve">Share of the run rate that is profit</t>
  </si>
  <si>
    <t xml:space="preserve">Not modeled here: acquisition cost, price changes, churn replacement, free-model capacity limit (about 150 Free questions a day product-wide today), and Vercel/Neon cost growth at that scale.</t>
  </si>
  <si>
    <t xml:space="preserve">Costed proposals (nothing here is live; no billing or price changes)</t>
  </si>
  <si>
    <t xml:space="preserve">1. Referral reward (proposal): invitee and referrer each get bonus credits after the invitee's first activated answer</t>
  </si>
  <si>
    <t xml:space="preserve">Bonus credits per person (a credit = $0.002 of provider cost x 1.1 margin)</t>
  </si>
  <si>
    <t xml:space="preserve">Provider cost if fully used, per person</t>
  </si>
  <si>
    <t xml:space="preserve">Persons rewarded per qualifying referral (referrer + invitee)</t>
  </si>
  <si>
    <t xml:space="preserve">Max rewarded referrals per referrer</t>
  </si>
  <si>
    <t xml:space="preserve">Cost per qualifying referral if fully used</t>
  </si>
  <si>
    <t xml:space="preserve">Maximum exposure per referrer</t>
  </si>
  <si>
    <t xml:space="preserve">Assumed abuse / fake-account share (adds to cost; verification required)</t>
  </si>
  <si>
    <t xml:space="preserve">Exposure per referrer incl. abuse allowance</t>
  </si>
  <si>
    <t xml:space="preserve">Referrers in a first test (cap)</t>
  </si>
  <si>
    <t xml:space="preserve">MAXIMUM total exposure of a capped test</t>
  </si>
  <si>
    <t xml:space="preserve">Break-even: one Lite payer's contribution over 3 months (Base)</t>
  </si>
  <si>
    <t xml:space="preserve">Eligibility: signed-in, email-verified, one reward per payer, invitee must be a new account that completes a real answer; rewards are credits (no cash) and expire in 30 days. Stop if exposure &gt; cap or if fewer than 1 in 10 rewarded invitees activates.</t>
  </si>
  <si>
    <t xml:space="preserve">2. Lifetime deal (NOT recommended now): cash is one-time; the service obligation is not</t>
  </si>
  <si>
    <t xml:space="preserve">Price</t>
  </si>
  <si>
    <t xml:space="preserve">Units sold in the test</t>
  </si>
  <si>
    <t xml:space="preserve">Cash collected (one-time; never recurring)</t>
  </si>
  <si>
    <t xml:space="preserve">Payment fees on that cash</t>
  </si>
  <si>
    <t xml:space="preserve">Monthly provider cost to serve one lifetime customer (Lite-level usage, Base)</t>
  </si>
  <si>
    <t xml:space="preserve">Months the obligation is assumed to last</t>
  </si>
  <si>
    <t xml:space="preserve">Service obligation = units x monthly cost x months</t>
  </si>
  <si>
    <t xml:space="preserve">Cash minus fees minus obligation (before support and infra)</t>
  </si>
  <si>
    <t xml:space="preserve">Break-even months of service at this price</t>
  </si>
  <si>
    <t xml:space="preserve">Counting rule: lifetime-deal cash appears only in 'one-time sales' and 'cash collected'. It is never added to MRR or ARR. A lifetime customer adds provider cost every month for as long as the product runs.</t>
  </si>
  <si>
    <t xml:space="preserve">ID</t>
  </si>
  <si>
    <t xml:space="preserve">Unsupported assumption (no Keplar data yet)</t>
  </si>
  <si>
    <t xml:space="preserve">Experiment that validates it (see docs/growth/EXPERIMENTS.md)</t>
  </si>
  <si>
    <t xml:space="preserve">Decision it affects</t>
  </si>
  <si>
    <t xml:space="preserve">E1</t>
  </si>
  <si>
    <t xml:space="preserve">Qualified visits per month and their growth</t>
  </si>
  <si>
    <t xml:space="preserve">Publish the developer page + 2 search guides; read /admin/growth qualified visits weekly for 4 weeks</t>
  </si>
  <si>
    <t xml:space="preserve">Which scenario column is realistic</t>
  </si>
  <si>
    <t xml:space="preserve">E2</t>
  </si>
  <si>
    <t xml:space="preserve">Demo-clip distribution produces qualified visits</t>
  </si>
  <si>
    <t xml:space="preserve">Post 4 real-run clips (founder accounts, no ads); count visits by utm</t>
  </si>
  <si>
    <t xml:space="preserve">Keep or stop channel 2</t>
  </si>
  <si>
    <t xml:space="preserve">E3</t>
  </si>
  <si>
    <t xml:space="preserve">Visit to account created, account to activated</t>
  </si>
  <si>
    <t xml:space="preserve">First 100 activated users stage gate; funnel in /admin/growth</t>
  </si>
  <si>
    <t xml:space="preserve">Landing/onboarding fixes</t>
  </si>
  <si>
    <t xml:space="preserve">E4</t>
  </si>
  <si>
    <t xml:space="preserve">Activated to paying conversion at current prices</t>
  </si>
  <si>
    <t xml:space="preserve">First 10 paying customers stage gate; ask research questions 8-10</t>
  </si>
  <si>
    <t xml:space="preserve">Price/plan boundary proposals</t>
  </si>
  <si>
    <t xml:space="preserve">E5</t>
  </si>
  <si>
    <t xml:space="preserve">Lite vs Plus plan mix</t>
  </si>
  <si>
    <t xml:space="preserve">Record plan on every payment</t>
  </si>
  <si>
    <t xml:space="preserve">Whether Plus ($44.99) is the right middle</t>
  </si>
  <si>
    <t xml:space="preserve">E6</t>
  </si>
  <si>
    <t xml:space="preserve">Monthly churn by plan</t>
  </si>
  <si>
    <t xml:space="preserve">Cohort retention by plan after 60 days; cancellation reasons</t>
  </si>
  <si>
    <t xml:space="preserve">Retention work before acquisition</t>
  </si>
  <si>
    <t xml:space="preserve">E7</t>
  </si>
  <si>
    <t xml:space="preserve">Tasks per month and other metered use per customer</t>
  </si>
  <si>
    <t xml:space="preserve">compute_ledger average per plan after 30 days of paid use</t>
  </si>
  <si>
    <t xml:space="preserve">Plan limits, heavy-user policy</t>
  </si>
  <si>
    <t xml:space="preserve">E8</t>
  </si>
  <si>
    <t xml:space="preserve">Refund rate, dispute rate, international share</t>
  </si>
  <si>
    <t xml:space="preserve">Whop payments report after 20 payments</t>
  </si>
  <si>
    <t xml:space="preserve">Fee assumptions, refund policy</t>
  </si>
  <si>
    <t xml:space="preserve">E9</t>
  </si>
  <si>
    <t xml:space="preserve">Free-model capacity covers Free demand</t>
  </si>
  <si>
    <t xml:space="preserve">Daily Free question count vs ~150 capacity; error rate 'limit'</t>
  </si>
  <si>
    <t xml:space="preserve">Free capacity fix / cheap fallback</t>
  </si>
  <si>
    <t xml:space="preserve">E10</t>
  </si>
  <si>
    <t xml:space="preserve">Support minutes per customer</t>
  </si>
  <si>
    <t xml:space="preserve">Count emails and minutes for 30 days</t>
  </si>
  <si>
    <t xml:space="preserve">Support cost, tooling</t>
  </si>
  <si>
    <t xml:space="preserve">E11</t>
  </si>
  <si>
    <t xml:space="preserve">Cost per visit of any paid channel</t>
  </si>
  <si>
    <t xml:space="preserve">Only after a budget, loss limit and authorization: capped test</t>
  </si>
  <si>
    <t xml:space="preserve">Whether paid acquisition is ever justified</t>
  </si>
</sst>
</file>

<file path=xl/styles.xml><?xml version="1.0" encoding="utf-8"?>
<styleSheet xmlns="http://schemas.openxmlformats.org/spreadsheetml/2006/main">
  <numFmts count="18">
    <numFmt numFmtId="164" formatCode="General"/>
    <numFmt numFmtId="165" formatCode="\$#,##0"/>
    <numFmt numFmtId="166" formatCode="#,##0.0"/>
    <numFmt numFmtId="167" formatCode="0.000%"/>
    <numFmt numFmtId="168" formatCode="\$#,##0.00"/>
    <numFmt numFmtId="169" formatCode="#,##0"/>
    <numFmt numFmtId="170" formatCode="0.0%"/>
    <numFmt numFmtId="171" formatCode="\$0.00"/>
    <numFmt numFmtId="172" formatCode="0%"/>
    <numFmt numFmtId="173" formatCode="0.00"/>
    <numFmt numFmtId="174" formatCode="\$0.0000"/>
    <numFmt numFmtId="175" formatCode="0"/>
    <numFmt numFmtId="176" formatCode="\$0.000"/>
    <numFmt numFmtId="177" formatCode="0.0"/>
    <numFmt numFmtId="178" formatCode="\$0"/>
    <numFmt numFmtId="179" formatCode="#,##0.00"/>
    <numFmt numFmtId="180" formatCode="\$0.000000"/>
    <numFmt numFmtId="181" formatCode="\$0.00000"/>
  </numFmts>
  <fonts count="10">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4"/>
      <name val="Cambria"/>
      <family val="0"/>
      <charset val="1"/>
    </font>
    <font>
      <b val="true"/>
      <sz val="11"/>
      <color rgb="FFFFFFFF"/>
      <name val="Cambria"/>
      <family val="0"/>
      <charset val="1"/>
    </font>
    <font>
      <b val="true"/>
      <sz val="11"/>
      <name val="Cambria"/>
      <family val="0"/>
      <charset val="1"/>
    </font>
    <font>
      <sz val="11"/>
      <color rgb="FF1F4FD8"/>
      <name val="Cambria"/>
      <family val="0"/>
      <charset val="1"/>
    </font>
    <font>
      <b val="true"/>
      <sz val="13"/>
      <name val="Cambria"/>
      <family val="0"/>
      <charset val="1"/>
    </font>
  </fonts>
  <fills count="6">
    <fill>
      <patternFill patternType="none"/>
    </fill>
    <fill>
      <patternFill patternType="gray125"/>
    </fill>
    <fill>
      <patternFill patternType="solid">
        <fgColor rgb="FF1B1B1F"/>
        <bgColor rgb="FF333300"/>
      </patternFill>
    </fill>
    <fill>
      <patternFill patternType="solid">
        <fgColor rgb="FFDDE3F0"/>
        <bgColor rgb="FFE3F4E6"/>
      </patternFill>
    </fill>
    <fill>
      <patternFill patternType="solid">
        <fgColor rgb="FFE3F4E6"/>
        <bgColor rgb="FFDDE3F0"/>
      </patternFill>
    </fill>
    <fill>
      <patternFill patternType="solid">
        <fgColor rgb="FFFFF4CC"/>
        <bgColor rgb="FFE3F4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71" fontId="8" fillId="4" borderId="0" xfId="0" applyFont="true" applyBorder="false" applyAlignment="false" applyProtection="false">
      <alignment horizontal="general" vertical="bottom" textRotation="0" wrapText="false" indent="0" shrinkToFit="false"/>
      <protection locked="true" hidden="false"/>
    </xf>
    <xf numFmtId="171" fontId="0" fillId="4"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70" fontId="8" fillId="4" borderId="0" xfId="0" applyFont="true" applyBorder="false" applyAlignment="false" applyProtection="false">
      <alignment horizontal="general" vertical="bottom" textRotation="0" wrapText="false" indent="0" shrinkToFit="false"/>
      <protection locked="true" hidden="false"/>
    </xf>
    <xf numFmtId="170" fontId="0" fillId="4" borderId="0" xfId="0" applyFont="false" applyBorder="false" applyAlignment="false" applyProtection="false">
      <alignment horizontal="general" vertical="bottom" textRotation="0" wrapText="false" indent="0" shrinkToFit="false"/>
      <protection locked="true" hidden="false"/>
    </xf>
    <xf numFmtId="172" fontId="8" fillId="5" borderId="0" xfId="0" applyFont="true" applyBorder="false" applyAlignment="false" applyProtection="false">
      <alignment horizontal="general" vertical="bottom" textRotation="0" wrapText="false" indent="0" shrinkToFit="false"/>
      <protection locked="true" hidden="false"/>
    </xf>
    <xf numFmtId="172" fontId="0" fillId="5" borderId="0" xfId="0" applyFont="fals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70" fontId="8" fillId="5" borderId="0" xfId="0" applyFont="true" applyBorder="false" applyAlignment="false" applyProtection="false">
      <alignment horizontal="general" vertical="bottom" textRotation="0" wrapText="false" indent="0" shrinkToFit="false"/>
      <protection locked="true" hidden="false"/>
    </xf>
    <xf numFmtId="169" fontId="8" fillId="5"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71" fontId="8" fillId="5" borderId="0" xfId="0" applyFont="true" applyBorder="false" applyAlignment="false" applyProtection="false">
      <alignment horizontal="general" vertical="bottom" textRotation="0" wrapText="false" indent="0" shrinkToFit="false"/>
      <protection locked="true" hidden="false"/>
    </xf>
    <xf numFmtId="171" fontId="0" fillId="5" borderId="0" xfId="0" applyFont="fals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8" fillId="4" borderId="0" xfId="0" applyFont="true" applyBorder="false" applyAlignment="false" applyProtection="false">
      <alignment horizontal="general" vertical="bottom" textRotation="0" wrapText="false" indent="0" shrinkToFit="false"/>
      <protection locked="true" hidden="false"/>
    </xf>
    <xf numFmtId="173" fontId="0" fillId="4"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5" fontId="8" fillId="4" borderId="0" xfId="0" applyFont="true" applyBorder="false" applyAlignment="false" applyProtection="false">
      <alignment horizontal="general" vertical="bottom" textRotation="0" wrapText="false" indent="0" shrinkToFit="false"/>
      <protection locked="true" hidden="false"/>
    </xf>
    <xf numFmtId="175" fontId="0" fillId="4" borderId="0" xfId="0" applyFont="false" applyBorder="false" applyAlignment="false" applyProtection="false">
      <alignment horizontal="general" vertical="bottom" textRotation="0" wrapText="false" indent="0" shrinkToFit="false"/>
      <protection locked="true" hidden="false"/>
    </xf>
    <xf numFmtId="176" fontId="8" fillId="5" borderId="0" xfId="0" applyFont="true" applyBorder="false" applyAlignment="false" applyProtection="false">
      <alignment horizontal="general" vertical="bottom" textRotation="0" wrapText="false" indent="0" shrinkToFit="false"/>
      <protection locked="true" hidden="false"/>
    </xf>
    <xf numFmtId="177" fontId="8" fillId="5" borderId="0" xfId="0" applyFont="true" applyBorder="false" applyAlignment="false" applyProtection="false">
      <alignment horizontal="general" vertical="bottom" textRotation="0" wrapText="false" indent="0" shrinkToFit="false"/>
      <protection locked="true" hidden="false"/>
    </xf>
    <xf numFmtId="178" fontId="8" fillId="5" borderId="0" xfId="0" applyFont="true" applyBorder="false" applyAlignment="false" applyProtection="false">
      <alignment horizontal="general" vertical="bottom" textRotation="0" wrapText="false" indent="0" shrinkToFit="false"/>
      <protection locked="true" hidden="false"/>
    </xf>
    <xf numFmtId="178" fontId="0" fillId="5" borderId="0" xfId="0" applyFont="false" applyBorder="false" applyAlignment="false" applyProtection="false">
      <alignment horizontal="general" vertical="bottom" textRotation="0" wrapText="false" indent="0" shrinkToFit="false"/>
      <protection locked="true" hidden="false"/>
    </xf>
    <xf numFmtId="165" fontId="8" fillId="5" borderId="0" xfId="0" applyFont="true" applyBorder="false" applyAlignment="false" applyProtection="false">
      <alignment horizontal="general" vertical="bottom"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9" fontId="8" fillId="4" borderId="0" xfId="0" applyFont="true" applyBorder="false" applyAlignment="false" applyProtection="false">
      <alignment horizontal="general" vertical="bottom" textRotation="0" wrapText="false" indent="0" shrinkToFit="false"/>
      <protection locked="true" hidden="false"/>
    </xf>
    <xf numFmtId="169" fontId="0" fillId="4" borderId="0" xfId="0" applyFont="false" applyBorder="false" applyAlignment="false" applyProtection="false">
      <alignment horizontal="general" vertical="bottom" textRotation="0" wrapText="false" indent="0" shrinkToFit="false"/>
      <protection locked="true" hidden="false"/>
    </xf>
    <xf numFmtId="178" fontId="8" fillId="4" borderId="0" xfId="0" applyFont="true" applyBorder="false" applyAlignment="false" applyProtection="false">
      <alignment horizontal="general" vertical="bottom" textRotation="0" wrapText="false" indent="0" shrinkToFit="false"/>
      <protection locked="true" hidden="false"/>
    </xf>
    <xf numFmtId="178" fontId="0" fillId="4" borderId="0" xfId="0" applyFont="fals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81" fontId="7" fillId="0" borderId="0" xfId="0" applyFont="tru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77"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75" fontId="8"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E3F4E6"/>
      <rgbColor rgb="FF660066"/>
      <rgbColor rgb="FFFF8080"/>
      <rgbColor rgb="FF0066CC"/>
      <rgbColor rgb="FFDDE3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4FD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1B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row>
    <row r="3" customFormat="false" ht="28.35" hidden="false" customHeight="false" outlineLevel="0" collapsed="false">
      <c r="A3" s="2" t="s">
        <v>1</v>
      </c>
    </row>
    <row r="4" customFormat="false" ht="28.35" hidden="false" customHeight="false" outlineLevel="0" collapsed="false">
      <c r="A4" s="2" t="s">
        <v>2</v>
      </c>
    </row>
    <row r="5" customFormat="false" ht="15" hidden="false" customHeight="false" outlineLevel="0" collapsed="false">
      <c r="A5" s="2" t="s">
        <v>3</v>
      </c>
    </row>
    <row r="6" customFormat="false" ht="41.75" hidden="false" customHeight="false" outlineLevel="0" collapsed="false">
      <c r="A6" s="2" t="s">
        <v>4</v>
      </c>
    </row>
    <row r="7" customFormat="false" ht="28.35" hidden="false" customHeight="false" outlineLevel="0" collapsed="false">
      <c r="A7" s="2" t="s">
        <v>5</v>
      </c>
    </row>
    <row r="8" customFormat="false" ht="28.35" hidden="false" customHeight="false" outlineLevel="0" collapsed="false">
      <c r="A8" s="2" t="s">
        <v>6</v>
      </c>
    </row>
    <row r="9" customFormat="false" ht="15" hidden="false" customHeight="false" outlineLevel="0" collapsed="false">
      <c r="A9"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2"/>
    <col collapsed="false" customWidth="true" hidden="false" outlineLevel="0" max="14" min="2" style="0" width="16"/>
  </cols>
  <sheetData>
    <row r="1" customFormat="false" ht="17.35" hidden="false" customHeight="false" outlineLevel="0" collapsed="false">
      <c r="A1" s="3" t="s">
        <v>8</v>
      </c>
    </row>
    <row r="2" customFormat="false" ht="43.5" hidden="false" customHeight="true" outlineLevel="0" collapsed="false">
      <c r="A2" s="4" t="s">
        <v>9</v>
      </c>
      <c r="B2" s="4"/>
      <c r="C2" s="4"/>
      <c r="D2" s="4"/>
      <c r="E2" s="4"/>
      <c r="F2" s="4"/>
      <c r="G2" s="4"/>
      <c r="H2" s="4"/>
    </row>
    <row r="4" customFormat="false" ht="28.35" hidden="false" customHeight="false" outlineLevel="0" collapsed="false">
      <c r="A4" s="5" t="s">
        <v>10</v>
      </c>
      <c r="B4" s="5" t="s">
        <v>11</v>
      </c>
      <c r="C4" s="5" t="s">
        <v>12</v>
      </c>
      <c r="D4" s="5" t="s">
        <v>13</v>
      </c>
      <c r="E4" s="5" t="s">
        <v>14</v>
      </c>
      <c r="F4" s="5" t="s">
        <v>15</v>
      </c>
      <c r="G4" s="5" t="s">
        <v>16</v>
      </c>
    </row>
    <row r="5" customFormat="false" ht="15" hidden="false" customHeight="false" outlineLevel="0" collapsed="false">
      <c r="A5" s="6" t="s">
        <v>17</v>
      </c>
    </row>
    <row r="6" customFormat="false" ht="15" hidden="false" customHeight="false" outlineLevel="0" collapsed="false">
      <c r="A6" s="0" t="str">
        <f aca="false">Model!A67</f>
        <v>$1,000 MRR</v>
      </c>
      <c r="B6" s="0" t="str">
        <f aca="false">Model!B67</f>
        <v>not in 60 mo</v>
      </c>
      <c r="C6" s="7" t="str">
        <f aca="false">Model!C67</f>
        <v>-</v>
      </c>
      <c r="D6" s="8" t="str">
        <f aca="false">Model!D67</f>
        <v>-</v>
      </c>
      <c r="E6" s="8" t="str">
        <f aca="false">Model!E67</f>
        <v>-</v>
      </c>
      <c r="F6" s="8" t="str">
        <f aca="false">Model!F67</f>
        <v>-</v>
      </c>
      <c r="G6" s="9" t="str">
        <f aca="false">Model!G67</f>
        <v>-</v>
      </c>
    </row>
    <row r="7" customFormat="false" ht="15" hidden="false" customHeight="false" outlineLevel="0" collapsed="false">
      <c r="A7" s="0" t="str">
        <f aca="false">Model!A68</f>
        <v>$10,000 MRR</v>
      </c>
      <c r="B7" s="0" t="str">
        <f aca="false">Model!B68</f>
        <v>not in 60 mo</v>
      </c>
      <c r="C7" s="7" t="str">
        <f aca="false">Model!C68</f>
        <v>-</v>
      </c>
      <c r="D7" s="8" t="str">
        <f aca="false">Model!D68</f>
        <v>-</v>
      </c>
      <c r="E7" s="8" t="str">
        <f aca="false">Model!E68</f>
        <v>-</v>
      </c>
      <c r="F7" s="8" t="str">
        <f aca="false">Model!F68</f>
        <v>-</v>
      </c>
      <c r="G7" s="9" t="str">
        <f aca="false">Model!G68</f>
        <v>-</v>
      </c>
    </row>
    <row r="8" customFormat="false" ht="15" hidden="false" customHeight="false" outlineLevel="0" collapsed="false">
      <c r="A8" s="0" t="str">
        <f aca="false">Model!A69</f>
        <v>$100,000 MRR</v>
      </c>
      <c r="B8" s="0" t="str">
        <f aca="false">Model!B69</f>
        <v>not in 60 mo</v>
      </c>
      <c r="C8" s="7" t="str">
        <f aca="false">Model!C69</f>
        <v>-</v>
      </c>
      <c r="D8" s="8" t="str">
        <f aca="false">Model!D69</f>
        <v>-</v>
      </c>
      <c r="E8" s="8" t="str">
        <f aca="false">Model!E69</f>
        <v>-</v>
      </c>
      <c r="F8" s="8" t="str">
        <f aca="false">Model!F69</f>
        <v>-</v>
      </c>
      <c r="G8" s="9" t="str">
        <f aca="false">Model!G69</f>
        <v>-</v>
      </c>
    </row>
    <row r="9" customFormat="false" ht="15" hidden="false" customHeight="false" outlineLevel="0" collapsed="false">
      <c r="A9" s="0" t="str">
        <f aca="false">Model!A70</f>
        <v>$1M ARR run-rate ($83,333 MRR)</v>
      </c>
      <c r="B9" s="0" t="str">
        <f aca="false">Model!B70</f>
        <v>not in 60 mo</v>
      </c>
      <c r="C9" s="7" t="str">
        <f aca="false">Model!C70</f>
        <v>-</v>
      </c>
      <c r="D9" s="8" t="str">
        <f aca="false">Model!D70</f>
        <v>-</v>
      </c>
      <c r="E9" s="8" t="str">
        <f aca="false">Model!E70</f>
        <v>-</v>
      </c>
      <c r="F9" s="8" t="str">
        <f aca="false">Model!F70</f>
        <v>-</v>
      </c>
      <c r="G9" s="9" t="str">
        <f aca="false">Model!G70</f>
        <v>-</v>
      </c>
    </row>
    <row r="10" customFormat="false" ht="15" hidden="false" customHeight="false" outlineLevel="0" collapsed="false">
      <c r="A10" s="0" t="str">
        <f aca="false">Model!A71</f>
        <v>$5M ARR run-rate ($416,667 MRR)</v>
      </c>
      <c r="B10" s="0" t="str">
        <f aca="false">Model!B71</f>
        <v>not in 60 mo</v>
      </c>
      <c r="C10" s="7" t="str">
        <f aca="false">Model!C71</f>
        <v>-</v>
      </c>
      <c r="D10" s="8" t="str">
        <f aca="false">Model!D71</f>
        <v>-</v>
      </c>
      <c r="E10" s="8" t="str">
        <f aca="false">Model!E71</f>
        <v>-</v>
      </c>
      <c r="F10" s="8" t="str">
        <f aca="false">Model!F71</f>
        <v>-</v>
      </c>
      <c r="G10" s="9" t="str">
        <f aca="false">Model!G71</f>
        <v>-</v>
      </c>
    </row>
    <row r="12" customFormat="false" ht="15" hidden="false" customHeight="false" outlineLevel="0" collapsed="false">
      <c r="A12" s="6" t="s">
        <v>18</v>
      </c>
    </row>
    <row r="13" customFormat="false" ht="15" hidden="false" customHeight="false" outlineLevel="0" collapsed="false">
      <c r="A13" s="0" t="str">
        <f aca="false">Model!A132</f>
        <v>$1,000 MRR</v>
      </c>
      <c r="B13" s="0" t="n">
        <f aca="false">Model!B132</f>
        <v>21</v>
      </c>
      <c r="C13" s="7" t="n">
        <f aca="false">Model!C132</f>
        <v>1105.58484592451</v>
      </c>
      <c r="D13" s="8" t="n">
        <f aca="false">Model!D132</f>
        <v>27.982263807319</v>
      </c>
      <c r="E13" s="8" t="n">
        <f aca="false">Model!E132</f>
        <v>10091.2499239884</v>
      </c>
      <c r="F13" s="8" t="n">
        <f aca="false">Model!F132</f>
        <v>4.54106246579479</v>
      </c>
      <c r="G13" s="9" t="n">
        <f aca="false">Model!G132</f>
        <v>0.00045</v>
      </c>
    </row>
    <row r="14" customFormat="false" ht="15" hidden="false" customHeight="false" outlineLevel="0" collapsed="false">
      <c r="A14" s="0" t="str">
        <f aca="false">Model!A133</f>
        <v>$10,000 MRR</v>
      </c>
      <c r="B14" s="0" t="n">
        <f aca="false">Model!B133</f>
        <v>44</v>
      </c>
      <c r="C14" s="7" t="n">
        <f aca="false">Model!C133</f>
        <v>10264.7431417162</v>
      </c>
      <c r="D14" s="8" t="n">
        <f aca="false">Model!D133</f>
        <v>257.977412101707</v>
      </c>
      <c r="E14" s="8" t="n">
        <f aca="false">Model!E133</f>
        <v>90360.1037418636</v>
      </c>
      <c r="F14" s="8" t="n">
        <f aca="false">Model!F133</f>
        <v>40.6620466838386</v>
      </c>
      <c r="G14" s="9" t="n">
        <f aca="false">Model!G133</f>
        <v>0.00045</v>
      </c>
    </row>
    <row r="15" customFormat="false" ht="15" hidden="false" customHeight="false" outlineLevel="0" collapsed="false">
      <c r="A15" s="0" t="str">
        <f aca="false">Model!A134</f>
        <v>$100,000 MRR</v>
      </c>
      <c r="B15" s="0" t="str">
        <f aca="false">Model!B134</f>
        <v>not in 60 mo</v>
      </c>
      <c r="C15" s="7" t="str">
        <f aca="false">Model!C134</f>
        <v>-</v>
      </c>
      <c r="D15" s="8" t="str">
        <f aca="false">Model!D134</f>
        <v>-</v>
      </c>
      <c r="E15" s="8" t="str">
        <f aca="false">Model!E134</f>
        <v>-</v>
      </c>
      <c r="F15" s="8" t="str">
        <f aca="false">Model!F134</f>
        <v>-</v>
      </c>
      <c r="G15" s="9" t="str">
        <f aca="false">Model!G134</f>
        <v>-</v>
      </c>
    </row>
    <row r="16" customFormat="false" ht="15" hidden="false" customHeight="false" outlineLevel="0" collapsed="false">
      <c r="A16" s="0" t="str">
        <f aca="false">Model!A135</f>
        <v>$1M ARR run-rate ($83,333 MRR)</v>
      </c>
      <c r="B16" s="0" t="str">
        <f aca="false">Model!B135</f>
        <v>not in 60 mo</v>
      </c>
      <c r="C16" s="7" t="str">
        <f aca="false">Model!C135</f>
        <v>-</v>
      </c>
      <c r="D16" s="8" t="str">
        <f aca="false">Model!D135</f>
        <v>-</v>
      </c>
      <c r="E16" s="8" t="str">
        <f aca="false">Model!E135</f>
        <v>-</v>
      </c>
      <c r="F16" s="8" t="str">
        <f aca="false">Model!F135</f>
        <v>-</v>
      </c>
      <c r="G16" s="9" t="str">
        <f aca="false">Model!G135</f>
        <v>-</v>
      </c>
    </row>
    <row r="17" customFormat="false" ht="15" hidden="false" customHeight="false" outlineLevel="0" collapsed="false">
      <c r="A17" s="0" t="str">
        <f aca="false">Model!A136</f>
        <v>$5M ARR run-rate ($416,667 MRR)</v>
      </c>
      <c r="B17" s="0" t="str">
        <f aca="false">Model!B136</f>
        <v>not in 60 mo</v>
      </c>
      <c r="C17" s="7" t="str">
        <f aca="false">Model!C136</f>
        <v>-</v>
      </c>
      <c r="D17" s="8" t="str">
        <f aca="false">Model!D136</f>
        <v>-</v>
      </c>
      <c r="E17" s="8" t="str">
        <f aca="false">Model!E136</f>
        <v>-</v>
      </c>
      <c r="F17" s="8" t="str">
        <f aca="false">Model!F136</f>
        <v>-</v>
      </c>
      <c r="G17" s="9" t="str">
        <f aca="false">Model!G136</f>
        <v>-</v>
      </c>
    </row>
    <row r="19" customFormat="false" ht="15" hidden="false" customHeight="false" outlineLevel="0" collapsed="false">
      <c r="A19" s="6" t="s">
        <v>19</v>
      </c>
    </row>
    <row r="20" customFormat="false" ht="15" hidden="false" customHeight="false" outlineLevel="0" collapsed="false">
      <c r="A20" s="0" t="str">
        <f aca="false">Model!A197</f>
        <v>$1,000 MRR</v>
      </c>
      <c r="B20" s="0" t="n">
        <f aca="false">Model!B197</f>
        <v>4</v>
      </c>
      <c r="C20" s="7" t="n">
        <f aca="false">Model!C197</f>
        <v>1251.94815410367</v>
      </c>
      <c r="D20" s="8" t="n">
        <f aca="false">Model!D197</f>
        <v>28.0992733175</v>
      </c>
      <c r="E20" s="8" t="n">
        <f aca="false">Model!E197</f>
        <v>5926.176</v>
      </c>
      <c r="F20" s="8" t="n">
        <f aca="false">Model!F197</f>
        <v>9.12631104</v>
      </c>
      <c r="G20" s="9" t="n">
        <f aca="false">Model!G197</f>
        <v>0.00154</v>
      </c>
    </row>
    <row r="21" customFormat="false" ht="15" hidden="false" customHeight="false" outlineLevel="0" collapsed="false">
      <c r="A21" s="0" t="str">
        <f aca="false">Model!A198</f>
        <v>$10,000 MRR</v>
      </c>
      <c r="B21" s="0" t="n">
        <f aca="false">Model!B198</f>
        <v>16</v>
      </c>
      <c r="C21" s="7" t="n">
        <f aca="false">Model!C198</f>
        <v>11080.540350286</v>
      </c>
      <c r="D21" s="8" t="n">
        <f aca="false">Model!D198</f>
        <v>243.076684032708</v>
      </c>
      <c r="E21" s="8" t="n">
        <f aca="false">Model!E198</f>
        <v>28551.751913552</v>
      </c>
      <c r="F21" s="8" t="n">
        <f aca="false">Model!F198</f>
        <v>43.96969794687</v>
      </c>
      <c r="G21" s="9" t="n">
        <f aca="false">Model!G198</f>
        <v>0.00154</v>
      </c>
    </row>
    <row r="22" customFormat="false" ht="15" hidden="false" customHeight="false" outlineLevel="0" collapsed="false">
      <c r="A22" s="0" t="str">
        <f aca="false">Model!A199</f>
        <v>$100,000 MRR</v>
      </c>
      <c r="B22" s="0" t="n">
        <f aca="false">Model!B199</f>
        <v>33</v>
      </c>
      <c r="C22" s="7" t="n">
        <f aca="false">Model!C199</f>
        <v>108693.212234345</v>
      </c>
      <c r="D22" s="8" t="n">
        <f aca="false">Model!D199</f>
        <v>2368.6613389502</v>
      </c>
      <c r="E22" s="8" t="n">
        <f aca="false">Model!E199</f>
        <v>264859.304379498</v>
      </c>
      <c r="F22" s="8" t="n">
        <f aca="false">Model!F199</f>
        <v>407.883328744427</v>
      </c>
      <c r="G22" s="9" t="n">
        <f aca="false">Model!G199</f>
        <v>0.00154</v>
      </c>
    </row>
    <row r="23" customFormat="false" ht="15" hidden="false" customHeight="false" outlineLevel="0" collapsed="false">
      <c r="A23" s="0" t="str">
        <f aca="false">Model!A200</f>
        <v>$1M ARR run-rate ($83,333 MRR)</v>
      </c>
      <c r="B23" s="0" t="n">
        <f aca="false">Model!B200</f>
        <v>31</v>
      </c>
      <c r="C23" s="7" t="n">
        <f aca="false">Model!C200</f>
        <v>83535.8850058031</v>
      </c>
      <c r="D23" s="8" t="n">
        <f aca="false">Model!D200</f>
        <v>1820.83850809211</v>
      </c>
      <c r="E23" s="8" t="n">
        <f aca="false">Model!E200</f>
        <v>203800.634333255</v>
      </c>
      <c r="F23" s="8" t="n">
        <f aca="false">Model!F200</f>
        <v>313.852976873212</v>
      </c>
      <c r="G23" s="9" t="n">
        <f aca="false">Model!G200</f>
        <v>0.00154</v>
      </c>
    </row>
    <row r="24" customFormat="false" ht="15" hidden="false" customHeight="false" outlineLevel="0" collapsed="false">
      <c r="A24" s="0" t="str">
        <f aca="false">Model!A201</f>
        <v>$5M ARR run-rate ($416,667 MRR)</v>
      </c>
      <c r="B24" s="0" t="n">
        <f aca="false">Model!B201</f>
        <v>57</v>
      </c>
      <c r="C24" s="7" t="n">
        <f aca="false">Model!C201</f>
        <v>423842.296603368</v>
      </c>
      <c r="D24" s="8" t="n">
        <f aca="false">Model!D201</f>
        <v>8831.06364592846</v>
      </c>
      <c r="E24" s="8" t="n">
        <f aca="false">Model!E201</f>
        <v>400000</v>
      </c>
      <c r="F24" s="8" t="n">
        <f aca="false">Model!F201</f>
        <v>616</v>
      </c>
      <c r="G24" s="9" t="n">
        <f aca="false">Model!G201</f>
        <v>0.00154</v>
      </c>
    </row>
    <row r="26" customFormat="false" ht="15" hidden="false" customHeight="false" outlineLevel="0" collapsed="false">
      <c r="A26" s="6" t="s">
        <v>20</v>
      </c>
    </row>
    <row r="27" customFormat="false" ht="55.2" hidden="false" customHeight="false" outlineLevel="0" collapsed="false">
      <c r="A27" s="5" t="s">
        <v>21</v>
      </c>
      <c r="B27" s="5" t="s">
        <v>22</v>
      </c>
      <c r="C27" s="5" t="s">
        <v>23</v>
      </c>
      <c r="D27" s="5" t="s">
        <v>24</v>
      </c>
      <c r="E27" s="5" t="s">
        <v>25</v>
      </c>
      <c r="F27" s="5" t="s">
        <v>26</v>
      </c>
      <c r="G27" s="5" t="s">
        <v>27</v>
      </c>
      <c r="H27" s="5" t="s">
        <v>16</v>
      </c>
      <c r="I27" s="5" t="s">
        <v>28</v>
      </c>
      <c r="J27" s="5" t="s">
        <v>29</v>
      </c>
    </row>
    <row r="28" customFormat="false" ht="15" hidden="false" customHeight="false" outlineLevel="0" collapsed="false">
      <c r="A28" s="0" t="s">
        <v>30</v>
      </c>
      <c r="B28" s="0" t="s">
        <v>17</v>
      </c>
      <c r="C28" s="10" t="n">
        <v>1000</v>
      </c>
      <c r="D28" s="11" t="n">
        <f aca="false">(Model!$C$28*Model!$C$6+Model!$C$29*Model!$C$7+Model!$C$30*Model!$C$8)*(1+Model!$C$38)</f>
        <v>32.59</v>
      </c>
      <c r="E28" s="12" t="n">
        <f aca="false">C28/D28</f>
        <v>30.6842589751458</v>
      </c>
      <c r="F28" s="13" t="n">
        <f aca="false">Model!$C$28*Model!$C$35+Model!$C$29*Model!$C$36+Model!$C$30*Model!$C$37</f>
        <v>0.1046</v>
      </c>
      <c r="G28" s="8" t="n">
        <f aca="false">E28*F28</f>
        <v>3.20957348880025</v>
      </c>
      <c r="H28" s="9" t="n">
        <f aca="false">Model!$C$25*Model!$C$26*Model!$C$27</f>
        <v>0.00013125</v>
      </c>
      <c r="I28" s="12" t="n">
        <f aca="false">G28/H28</f>
        <v>24453.8932480019</v>
      </c>
      <c r="J28" s="12" t="n">
        <f aca="false">(G28+E28*0.1/(1+0.1))/H28</f>
        <v>45707.0596377132</v>
      </c>
    </row>
    <row r="29" customFormat="false" ht="15" hidden="false" customHeight="false" outlineLevel="0" collapsed="false">
      <c r="A29" s="0" t="s">
        <v>30</v>
      </c>
      <c r="B29" s="0" t="s">
        <v>18</v>
      </c>
      <c r="C29" s="10" t="n">
        <v>1000</v>
      </c>
      <c r="D29" s="11" t="n">
        <f aca="false">(Model!$D$28*Model!$D$6+Model!$D$29*Model!$D$7+Model!$D$30*Model!$D$8)*(1+Model!$D$38)</f>
        <v>37.4748</v>
      </c>
      <c r="E29" s="12" t="n">
        <f aca="false">C29/D29</f>
        <v>26.6845987170045</v>
      </c>
      <c r="F29" s="13" t="n">
        <f aca="false">Model!$D$28*Model!$D$35+Model!$D$29*Model!$D$36+Model!$D$30*Model!$D$37</f>
        <v>0.075</v>
      </c>
      <c r="G29" s="8" t="n">
        <f aca="false">E29*F29</f>
        <v>2.00134490377534</v>
      </c>
      <c r="H29" s="9" t="n">
        <f aca="false">Model!$D$25*Model!$D$26*Model!$D$27</f>
        <v>0.00045</v>
      </c>
      <c r="I29" s="12" t="n">
        <f aca="false">G29/H29</f>
        <v>4447.43311950075</v>
      </c>
      <c r="J29" s="12" t="n">
        <f aca="false">(G29+E29*0.1/(1+0.1))/H29</f>
        <v>9838.26114313802</v>
      </c>
    </row>
    <row r="30" customFormat="false" ht="15" hidden="false" customHeight="false" outlineLevel="0" collapsed="false">
      <c r="A30" s="0" t="s">
        <v>30</v>
      </c>
      <c r="B30" s="0" t="s">
        <v>19</v>
      </c>
      <c r="C30" s="10" t="n">
        <v>1000</v>
      </c>
      <c r="D30" s="11" t="n">
        <f aca="false">(Model!$E$28*Model!$E$6+Model!$E$29*Model!$E$7+Model!$E$30*Model!$E$8)*(1+Model!$E$38)</f>
        <v>44.0895</v>
      </c>
      <c r="E30" s="12" t="n">
        <f aca="false">C30/D30</f>
        <v>22.6811372322208</v>
      </c>
      <c r="F30" s="13" t="n">
        <f aca="false">Model!$E$28*Model!$E$35+Model!$E$29*Model!$E$36+Model!$E$30*Model!$E$37</f>
        <v>0.05675</v>
      </c>
      <c r="G30" s="8" t="n">
        <f aca="false">E30*F30</f>
        <v>1.28715453792853</v>
      </c>
      <c r="H30" s="9" t="n">
        <f aca="false">Model!$E$25*Model!$E$26*Model!$E$27</f>
        <v>0.00154</v>
      </c>
      <c r="I30" s="12" t="n">
        <f aca="false">G30/H30</f>
        <v>835.814635018527</v>
      </c>
      <c r="J30" s="12" t="n">
        <f aca="false">(G30+E30*0.1/(1+0.1))/H30</f>
        <v>2174.72474317796</v>
      </c>
    </row>
    <row r="31" customFormat="false" ht="15" hidden="false" customHeight="false" outlineLevel="0" collapsed="false">
      <c r="A31" s="0" t="s">
        <v>31</v>
      </c>
      <c r="B31" s="0" t="s">
        <v>17</v>
      </c>
      <c r="C31" s="10" t="n">
        <v>10000</v>
      </c>
      <c r="D31" s="11" t="n">
        <f aca="false">(Model!$C$28*Model!$C$6+Model!$C$29*Model!$C$7+Model!$C$30*Model!$C$8)*(1+Model!$C$38)</f>
        <v>32.59</v>
      </c>
      <c r="E31" s="12" t="n">
        <f aca="false">C31/D31</f>
        <v>306.842589751458</v>
      </c>
      <c r="F31" s="13" t="n">
        <f aca="false">Model!$C$28*Model!$C$35+Model!$C$29*Model!$C$36+Model!$C$30*Model!$C$37</f>
        <v>0.1046</v>
      </c>
      <c r="G31" s="8" t="n">
        <f aca="false">E31*F31</f>
        <v>32.0957348880025</v>
      </c>
      <c r="H31" s="9" t="n">
        <f aca="false">Model!$C$25*Model!$C$26*Model!$C$27</f>
        <v>0.00013125</v>
      </c>
      <c r="I31" s="12" t="n">
        <f aca="false">G31/H31</f>
        <v>244538.932480019</v>
      </c>
      <c r="J31" s="12" t="n">
        <f aca="false">(G31+E31*0.1/(1+0.1))/H31</f>
        <v>457070.596377132</v>
      </c>
    </row>
    <row r="32" customFormat="false" ht="15" hidden="false" customHeight="false" outlineLevel="0" collapsed="false">
      <c r="A32" s="0" t="s">
        <v>31</v>
      </c>
      <c r="B32" s="0" t="s">
        <v>18</v>
      </c>
      <c r="C32" s="10" t="n">
        <v>10000</v>
      </c>
      <c r="D32" s="11" t="n">
        <f aca="false">(Model!$D$28*Model!$D$6+Model!$D$29*Model!$D$7+Model!$D$30*Model!$D$8)*(1+Model!$D$38)</f>
        <v>37.4748</v>
      </c>
      <c r="E32" s="12" t="n">
        <f aca="false">C32/D32</f>
        <v>266.845987170045</v>
      </c>
      <c r="F32" s="13" t="n">
        <f aca="false">Model!$D$28*Model!$D$35+Model!$D$29*Model!$D$36+Model!$D$30*Model!$D$37</f>
        <v>0.075</v>
      </c>
      <c r="G32" s="8" t="n">
        <f aca="false">E32*F32</f>
        <v>20.0134490377534</v>
      </c>
      <c r="H32" s="9" t="n">
        <f aca="false">Model!$D$25*Model!$D$26*Model!$D$27</f>
        <v>0.00045</v>
      </c>
      <c r="I32" s="12" t="n">
        <f aca="false">G32/H32</f>
        <v>44474.3311950075</v>
      </c>
      <c r="J32" s="12" t="n">
        <f aca="false">(G32+E32*0.1/(1+0.1))/H32</f>
        <v>98382.6114313802</v>
      </c>
    </row>
    <row r="33" customFormat="false" ht="15" hidden="false" customHeight="false" outlineLevel="0" collapsed="false">
      <c r="A33" s="0" t="s">
        <v>31</v>
      </c>
      <c r="B33" s="0" t="s">
        <v>19</v>
      </c>
      <c r="C33" s="10" t="n">
        <v>10000</v>
      </c>
      <c r="D33" s="11" t="n">
        <f aca="false">(Model!$E$28*Model!$E$6+Model!$E$29*Model!$E$7+Model!$E$30*Model!$E$8)*(1+Model!$E$38)</f>
        <v>44.0895</v>
      </c>
      <c r="E33" s="12" t="n">
        <f aca="false">C33/D33</f>
        <v>226.811372322208</v>
      </c>
      <c r="F33" s="13" t="n">
        <f aca="false">Model!$E$28*Model!$E$35+Model!$E$29*Model!$E$36+Model!$E$30*Model!$E$37</f>
        <v>0.05675</v>
      </c>
      <c r="G33" s="8" t="n">
        <f aca="false">E33*F33</f>
        <v>12.8715453792853</v>
      </c>
      <c r="H33" s="9" t="n">
        <f aca="false">Model!$E$25*Model!$E$26*Model!$E$27</f>
        <v>0.00154</v>
      </c>
      <c r="I33" s="12" t="n">
        <f aca="false">G33/H33</f>
        <v>8358.14635018527</v>
      </c>
      <c r="J33" s="12" t="n">
        <f aca="false">(G33+E33*0.1/(1+0.1))/H33</f>
        <v>21747.2474317796</v>
      </c>
    </row>
    <row r="34" customFormat="false" ht="15" hidden="false" customHeight="false" outlineLevel="0" collapsed="false">
      <c r="A34" s="0" t="s">
        <v>32</v>
      </c>
      <c r="B34" s="0" t="s">
        <v>17</v>
      </c>
      <c r="C34" s="10" t="n">
        <v>100000</v>
      </c>
      <c r="D34" s="11" t="n">
        <f aca="false">(Model!$C$28*Model!$C$6+Model!$C$29*Model!$C$7+Model!$C$30*Model!$C$8)*(1+Model!$C$38)</f>
        <v>32.59</v>
      </c>
      <c r="E34" s="12" t="n">
        <f aca="false">C34/D34</f>
        <v>3068.42589751458</v>
      </c>
      <c r="F34" s="13" t="n">
        <f aca="false">Model!$C$28*Model!$C$35+Model!$C$29*Model!$C$36+Model!$C$30*Model!$C$37</f>
        <v>0.1046</v>
      </c>
      <c r="G34" s="8" t="n">
        <f aca="false">E34*F34</f>
        <v>320.957348880025</v>
      </c>
      <c r="H34" s="9" t="n">
        <f aca="false">Model!$C$25*Model!$C$26*Model!$C$27</f>
        <v>0.00013125</v>
      </c>
      <c r="I34" s="12" t="n">
        <f aca="false">G34/H34</f>
        <v>2445389.32480019</v>
      </c>
      <c r="J34" s="12" t="n">
        <f aca="false">(G34+E34*0.1/(1+0.1))/H34</f>
        <v>4570705.96377132</v>
      </c>
    </row>
    <row r="35" customFormat="false" ht="15" hidden="false" customHeight="false" outlineLevel="0" collapsed="false">
      <c r="A35" s="0" t="s">
        <v>32</v>
      </c>
      <c r="B35" s="0" t="s">
        <v>18</v>
      </c>
      <c r="C35" s="10" t="n">
        <v>100000</v>
      </c>
      <c r="D35" s="11" t="n">
        <f aca="false">(Model!$D$28*Model!$D$6+Model!$D$29*Model!$D$7+Model!$D$30*Model!$D$8)*(1+Model!$D$38)</f>
        <v>37.4748</v>
      </c>
      <c r="E35" s="12" t="n">
        <f aca="false">C35/D35</f>
        <v>2668.45987170045</v>
      </c>
      <c r="F35" s="13" t="n">
        <f aca="false">Model!$D$28*Model!$D$35+Model!$D$29*Model!$D$36+Model!$D$30*Model!$D$37</f>
        <v>0.075</v>
      </c>
      <c r="G35" s="8" t="n">
        <f aca="false">E35*F35</f>
        <v>200.134490377534</v>
      </c>
      <c r="H35" s="9" t="n">
        <f aca="false">Model!$D$25*Model!$D$26*Model!$D$27</f>
        <v>0.00045</v>
      </c>
      <c r="I35" s="12" t="n">
        <f aca="false">G35/H35</f>
        <v>444743.311950075</v>
      </c>
      <c r="J35" s="12" t="n">
        <f aca="false">(G35+E35*0.1/(1+0.1))/H35</f>
        <v>983826.114313802</v>
      </c>
    </row>
    <row r="36" customFormat="false" ht="15" hidden="false" customHeight="false" outlineLevel="0" collapsed="false">
      <c r="A36" s="0" t="s">
        <v>32</v>
      </c>
      <c r="B36" s="0" t="s">
        <v>19</v>
      </c>
      <c r="C36" s="10" t="n">
        <v>100000</v>
      </c>
      <c r="D36" s="11" t="n">
        <f aca="false">(Model!$E$28*Model!$E$6+Model!$E$29*Model!$E$7+Model!$E$30*Model!$E$8)*(1+Model!$E$38)</f>
        <v>44.0895</v>
      </c>
      <c r="E36" s="12" t="n">
        <f aca="false">C36/D36</f>
        <v>2268.11372322208</v>
      </c>
      <c r="F36" s="13" t="n">
        <f aca="false">Model!$E$28*Model!$E$35+Model!$E$29*Model!$E$36+Model!$E$30*Model!$E$37</f>
        <v>0.05675</v>
      </c>
      <c r="G36" s="8" t="n">
        <f aca="false">E36*F36</f>
        <v>128.715453792853</v>
      </c>
      <c r="H36" s="9" t="n">
        <f aca="false">Model!$E$25*Model!$E$26*Model!$E$27</f>
        <v>0.00154</v>
      </c>
      <c r="I36" s="12" t="n">
        <f aca="false">G36/H36</f>
        <v>83581.4635018527</v>
      </c>
      <c r="J36" s="12" t="n">
        <f aca="false">(G36+E36*0.1/(1+0.1))/H36</f>
        <v>217472.474317796</v>
      </c>
    </row>
    <row r="37" customFormat="false" ht="15" hidden="false" customHeight="false" outlineLevel="0" collapsed="false">
      <c r="A37" s="0" t="s">
        <v>33</v>
      </c>
      <c r="B37" s="0" t="s">
        <v>17</v>
      </c>
      <c r="C37" s="10" t="n">
        <v>83333.3333333333</v>
      </c>
      <c r="D37" s="11" t="n">
        <f aca="false">(Model!$C$28*Model!$C$6+Model!$C$29*Model!$C$7+Model!$C$30*Model!$C$8)*(1+Model!$C$38)</f>
        <v>32.59</v>
      </c>
      <c r="E37" s="12" t="n">
        <f aca="false">C37/D37</f>
        <v>2557.02158126215</v>
      </c>
      <c r="F37" s="13" t="n">
        <f aca="false">Model!$C$28*Model!$C$35+Model!$C$29*Model!$C$36+Model!$C$30*Model!$C$37</f>
        <v>0.1046</v>
      </c>
      <c r="G37" s="8" t="n">
        <f aca="false">E37*F37</f>
        <v>267.464457400021</v>
      </c>
      <c r="H37" s="9" t="n">
        <f aca="false">Model!$C$25*Model!$C$26*Model!$C$27</f>
        <v>0.00013125</v>
      </c>
      <c r="I37" s="12" t="n">
        <f aca="false">G37/H37</f>
        <v>2037824.43733349</v>
      </c>
      <c r="J37" s="12" t="n">
        <f aca="false">(G37+E37*0.1/(1+0.1))/H37</f>
        <v>3808921.6364761</v>
      </c>
    </row>
    <row r="38" customFormat="false" ht="15" hidden="false" customHeight="false" outlineLevel="0" collapsed="false">
      <c r="A38" s="0" t="s">
        <v>33</v>
      </c>
      <c r="B38" s="0" t="s">
        <v>18</v>
      </c>
      <c r="C38" s="10" t="n">
        <v>83333.3333333333</v>
      </c>
      <c r="D38" s="11" t="n">
        <f aca="false">(Model!$D$28*Model!$D$6+Model!$D$29*Model!$D$7+Model!$D$30*Model!$D$8)*(1+Model!$D$38)</f>
        <v>37.4748</v>
      </c>
      <c r="E38" s="12" t="n">
        <f aca="false">C38/D38</f>
        <v>2223.71655975037</v>
      </c>
      <c r="F38" s="13" t="n">
        <f aca="false">Model!$D$28*Model!$D$35+Model!$D$29*Model!$D$36+Model!$D$30*Model!$D$37</f>
        <v>0.075</v>
      </c>
      <c r="G38" s="8" t="n">
        <f aca="false">E38*F38</f>
        <v>166.778741981278</v>
      </c>
      <c r="H38" s="9" t="n">
        <f aca="false">Model!$D$25*Model!$D$26*Model!$D$27</f>
        <v>0.00045</v>
      </c>
      <c r="I38" s="12" t="n">
        <f aca="false">G38/H38</f>
        <v>370619.426625062</v>
      </c>
      <c r="J38" s="12" t="n">
        <f aca="false">(G38+E38*0.1/(1+0.1))/H38</f>
        <v>819855.095261502</v>
      </c>
    </row>
    <row r="39" customFormat="false" ht="15" hidden="false" customHeight="false" outlineLevel="0" collapsed="false">
      <c r="A39" s="0" t="s">
        <v>33</v>
      </c>
      <c r="B39" s="0" t="s">
        <v>19</v>
      </c>
      <c r="C39" s="10" t="n">
        <v>83333.3333333333</v>
      </c>
      <c r="D39" s="11" t="n">
        <f aca="false">(Model!$E$28*Model!$E$6+Model!$E$29*Model!$E$7+Model!$E$30*Model!$E$8)*(1+Model!$E$38)</f>
        <v>44.0895</v>
      </c>
      <c r="E39" s="12" t="n">
        <f aca="false">C39/D39</f>
        <v>1890.09476935174</v>
      </c>
      <c r="F39" s="13" t="n">
        <f aca="false">Model!$E$28*Model!$E$35+Model!$E$29*Model!$E$36+Model!$E$30*Model!$E$37</f>
        <v>0.05675</v>
      </c>
      <c r="G39" s="8" t="n">
        <f aca="false">E39*F39</f>
        <v>107.262878160711</v>
      </c>
      <c r="H39" s="9" t="n">
        <f aca="false">Model!$E$25*Model!$E$26*Model!$E$27</f>
        <v>0.00154</v>
      </c>
      <c r="I39" s="12" t="n">
        <f aca="false">G39/H39</f>
        <v>69651.2195848772</v>
      </c>
      <c r="J39" s="12" t="n">
        <f aca="false">(G39+E39*0.1/(1+0.1))/H39</f>
        <v>181227.061931497</v>
      </c>
    </row>
    <row r="40" customFormat="false" ht="15" hidden="false" customHeight="false" outlineLevel="0" collapsed="false">
      <c r="A40" s="0" t="s">
        <v>34</v>
      </c>
      <c r="B40" s="0" t="s">
        <v>17</v>
      </c>
      <c r="C40" s="10" t="n">
        <v>416666.666666667</v>
      </c>
      <c r="D40" s="11" t="n">
        <f aca="false">(Model!$C$28*Model!$C$6+Model!$C$29*Model!$C$7+Model!$C$30*Model!$C$8)*(1+Model!$C$38)</f>
        <v>32.59</v>
      </c>
      <c r="E40" s="12" t="n">
        <f aca="false">C40/D40</f>
        <v>12785.1079063107</v>
      </c>
      <c r="F40" s="13" t="n">
        <f aca="false">Model!$C$28*Model!$C$35+Model!$C$29*Model!$C$36+Model!$C$30*Model!$C$37</f>
        <v>0.1046</v>
      </c>
      <c r="G40" s="8" t="n">
        <f aca="false">E40*F40</f>
        <v>1337.3222870001</v>
      </c>
      <c r="H40" s="9" t="n">
        <f aca="false">Model!$C$25*Model!$C$26*Model!$C$27</f>
        <v>0.00013125</v>
      </c>
      <c r="I40" s="12" t="n">
        <f aca="false">G40/H40</f>
        <v>10189122.1866674</v>
      </c>
      <c r="J40" s="12" t="n">
        <f aca="false">(G40+E40*0.1/(1+0.1))/H40</f>
        <v>19044608.1823805</v>
      </c>
    </row>
    <row r="41" customFormat="false" ht="15" hidden="false" customHeight="false" outlineLevel="0" collapsed="false">
      <c r="A41" s="0" t="s">
        <v>34</v>
      </c>
      <c r="B41" s="0" t="s">
        <v>18</v>
      </c>
      <c r="C41" s="10" t="n">
        <v>416666.666666667</v>
      </c>
      <c r="D41" s="11" t="n">
        <f aca="false">(Model!$D$28*Model!$D$6+Model!$D$29*Model!$D$7+Model!$D$30*Model!$D$8)*(1+Model!$D$38)</f>
        <v>37.4748</v>
      </c>
      <c r="E41" s="12" t="n">
        <f aca="false">C41/D41</f>
        <v>11118.5827987519</v>
      </c>
      <c r="F41" s="13" t="n">
        <f aca="false">Model!$D$28*Model!$D$35+Model!$D$29*Model!$D$36+Model!$D$30*Model!$D$37</f>
        <v>0.075</v>
      </c>
      <c r="G41" s="8" t="n">
        <f aca="false">E41*F41</f>
        <v>833.893709906391</v>
      </c>
      <c r="H41" s="9" t="n">
        <f aca="false">Model!$D$25*Model!$D$26*Model!$D$27</f>
        <v>0.00045</v>
      </c>
      <c r="I41" s="12" t="n">
        <f aca="false">G41/H41</f>
        <v>1853097.13312531</v>
      </c>
      <c r="J41" s="12" t="n">
        <f aca="false">(G41+E41*0.1/(1+0.1))/H41</f>
        <v>4099275.47630751</v>
      </c>
    </row>
    <row r="42" customFormat="false" ht="15" hidden="false" customHeight="false" outlineLevel="0" collapsed="false">
      <c r="A42" s="0" t="s">
        <v>34</v>
      </c>
      <c r="B42" s="0" t="s">
        <v>19</v>
      </c>
      <c r="C42" s="10" t="n">
        <v>416666.666666667</v>
      </c>
      <c r="D42" s="11" t="n">
        <f aca="false">(Model!$E$28*Model!$E$6+Model!$E$29*Model!$E$7+Model!$E$30*Model!$E$8)*(1+Model!$E$38)</f>
        <v>44.0895</v>
      </c>
      <c r="E42" s="12" t="n">
        <f aca="false">C42/D42</f>
        <v>9450.47384675868</v>
      </c>
      <c r="F42" s="13" t="n">
        <f aca="false">Model!$E$28*Model!$E$35+Model!$E$29*Model!$E$36+Model!$E$30*Model!$E$37</f>
        <v>0.05675</v>
      </c>
      <c r="G42" s="8" t="n">
        <f aca="false">E42*F42</f>
        <v>536.314390803555</v>
      </c>
      <c r="H42" s="9" t="n">
        <f aca="false">Model!$E$25*Model!$E$26*Model!$E$27</f>
        <v>0.00154</v>
      </c>
      <c r="I42" s="12" t="n">
        <f aca="false">G42/H42</f>
        <v>348256.097924386</v>
      </c>
      <c r="J42" s="12" t="n">
        <f aca="false">(G42+E42*0.1/(1+0.1))/H42</f>
        <v>906135.309657484</v>
      </c>
    </row>
    <row r="44" customFormat="false" ht="43.5" hidden="false" customHeight="true" outlineLevel="0" collapsed="false">
      <c r="A44" s="4" t="s">
        <v>35</v>
      </c>
      <c r="B44" s="4"/>
      <c r="C44" s="4"/>
      <c r="D44" s="4"/>
      <c r="E44" s="4"/>
      <c r="F44" s="4"/>
      <c r="G44" s="4"/>
      <c r="H44" s="4"/>
    </row>
    <row r="46" customFormat="false" ht="15" hidden="false" customHeight="false" outlineLevel="0" collapsed="false">
      <c r="A46" s="6" t="s">
        <v>36</v>
      </c>
    </row>
    <row r="47" customFormat="false" ht="15" hidden="false" customHeight="false" outlineLevel="0" collapsed="false">
      <c r="A47" s="5" t="s">
        <v>37</v>
      </c>
      <c r="B47" s="5" t="s">
        <v>38</v>
      </c>
      <c r="C47" s="5" t="s">
        <v>39</v>
      </c>
      <c r="D47" s="5" t="s">
        <v>40</v>
      </c>
      <c r="E47" s="5" t="s">
        <v>41</v>
      </c>
      <c r="F47" s="5" t="s">
        <v>42</v>
      </c>
    </row>
    <row r="48" customFormat="false" ht="15" hidden="false" customHeight="false" outlineLevel="0" collapsed="false">
      <c r="A48" s="6" t="s">
        <v>17</v>
      </c>
    </row>
    <row r="49" customFormat="false" ht="15" hidden="false" customHeight="false" outlineLevel="0" collapsed="false">
      <c r="A49" s="0" t="s">
        <v>43</v>
      </c>
      <c r="B49" s="7" t="n">
        <f aca="false">SUM(Model!D96:O96)</f>
        <v>148.252484638992</v>
      </c>
      <c r="C49" s="7" t="n">
        <f aca="false">SUM(Model!P96:AA96)</f>
        <v>457.768849573758</v>
      </c>
      <c r="D49" s="7" t="n">
        <f aca="false">SUM(Model!AB96:AM96)</f>
        <v>977.64455072481</v>
      </c>
      <c r="E49" s="7" t="n">
        <f aca="false">SUM(Model!AN96:AY96)</f>
        <v>1988.83349508976</v>
      </c>
      <c r="F49" s="7" t="n">
        <f aca="false">SUM(Model!AZ96:BK96)</f>
        <v>4010.66879217024</v>
      </c>
    </row>
    <row r="50" customFormat="false" ht="15" hidden="false" customHeight="false" outlineLevel="0" collapsed="false">
      <c r="A50" s="0" t="s">
        <v>44</v>
      </c>
      <c r="B50" s="7" t="n">
        <f aca="false">SUM(Model!D97:O97)</f>
        <v>0</v>
      </c>
      <c r="C50" s="7" t="n">
        <f aca="false">SUM(Model!P97:AA97)</f>
        <v>0</v>
      </c>
      <c r="D50" s="7" t="n">
        <f aca="false">SUM(Model!AB97:AM97)</f>
        <v>0</v>
      </c>
      <c r="E50" s="7" t="n">
        <f aca="false">SUM(Model!AN97:AY97)</f>
        <v>0</v>
      </c>
      <c r="F50" s="7" t="n">
        <f aca="false">SUM(Model!AZ97:BK97)</f>
        <v>0</v>
      </c>
    </row>
    <row r="51" customFormat="false" ht="15" hidden="false" customHeight="false" outlineLevel="0" collapsed="false">
      <c r="A51" s="0" t="s">
        <v>45</v>
      </c>
      <c r="B51" s="7" t="n">
        <f aca="false">SUM(Model!D104:O104)</f>
        <v>117.283278598154</v>
      </c>
      <c r="C51" s="7" t="n">
        <f aca="false">SUM(Model!P104:AA104)</f>
        <v>361.723826504374</v>
      </c>
      <c r="D51" s="7" t="n">
        <f aca="false">SUM(Model!AB104:AM104)</f>
        <v>772.104941463033</v>
      </c>
      <c r="E51" s="7" t="n">
        <f aca="false">SUM(Model!AN104:AY104)</f>
        <v>1570.47378077052</v>
      </c>
      <c r="F51" s="7" t="n">
        <f aca="false">SUM(Model!AZ104:BK104)</f>
        <v>3166.89975687375</v>
      </c>
    </row>
    <row r="52" customFormat="false" ht="15" hidden="false" customHeight="false" outlineLevel="0" collapsed="false">
      <c r="A52" s="0" t="s">
        <v>46</v>
      </c>
      <c r="B52" s="7" t="n">
        <f aca="false">SUM(Model!D118:O118)</f>
        <v>-1101.24557153203</v>
      </c>
      <c r="C52" s="7" t="n">
        <f aca="false">SUM(Model!P118:AA118)</f>
        <v>-890.551140715202</v>
      </c>
      <c r="D52" s="7" t="n">
        <f aca="false">SUM(Model!AB118:AM118)</f>
        <v>-537.15910656488</v>
      </c>
      <c r="E52" s="7" t="n">
        <f aca="false">SUM(Model!AN118:AY118)</f>
        <v>149.289044651381</v>
      </c>
      <c r="F52" s="7" t="n">
        <f aca="false">SUM(Model!AZ118:BK118)</f>
        <v>1521.36254497342</v>
      </c>
    </row>
    <row r="53" customFormat="false" ht="15" hidden="false" customHeight="false" outlineLevel="0" collapsed="false">
      <c r="A53" s="0" t="s">
        <v>47</v>
      </c>
      <c r="B53" s="7" t="n">
        <f aca="false">Model!O91</f>
        <v>24.1018404768053</v>
      </c>
      <c r="C53" s="7" t="n">
        <f aca="false">Model!AA91</f>
        <v>56.70209978841</v>
      </c>
      <c r="D53" s="7" t="n">
        <f aca="false">Model!AM91</f>
        <v>117.136249645627</v>
      </c>
      <c r="E53" s="7" t="n">
        <f aca="false">Model!AY91</f>
        <v>236.903049886953</v>
      </c>
      <c r="F53" s="7" t="n">
        <f aca="false">Model!BK91</f>
        <v>477.193024540515</v>
      </c>
    </row>
    <row r="55" customFormat="false" ht="15" hidden="false" customHeight="false" outlineLevel="0" collapsed="false">
      <c r="A55" s="6" t="s">
        <v>18</v>
      </c>
    </row>
    <row r="56" customFormat="false" ht="15" hidden="false" customHeight="false" outlineLevel="0" collapsed="false">
      <c r="A56" s="0" t="s">
        <v>43</v>
      </c>
      <c r="B56" s="7" t="n">
        <f aca="false">SUM(Model!D161:O161)</f>
        <v>2308.83678244568</v>
      </c>
      <c r="C56" s="7" t="n">
        <f aca="false">SUM(Model!P161:AA161)</f>
        <v>10491.7966440198</v>
      </c>
      <c r="D56" s="7" t="n">
        <f aca="false">SUM(Model!AB161:AM161)</f>
        <v>34463.9247638197</v>
      </c>
      <c r="E56" s="7" t="n">
        <f aca="false">SUM(Model!AN161:AY161)</f>
        <v>108712.067563399</v>
      </c>
      <c r="F56" s="7" t="n">
        <f aca="false">SUM(Model!AZ161:BK161)</f>
        <v>238359.347181758</v>
      </c>
    </row>
    <row r="57" customFormat="false" ht="15" hidden="false" customHeight="false" outlineLevel="0" collapsed="false">
      <c r="A57" s="0" t="s">
        <v>44</v>
      </c>
      <c r="B57" s="7" t="n">
        <f aca="false">SUM(Model!D162:O162)</f>
        <v>0</v>
      </c>
      <c r="C57" s="7" t="n">
        <f aca="false">SUM(Model!P162:AA162)</f>
        <v>0</v>
      </c>
      <c r="D57" s="7" t="n">
        <f aca="false">SUM(Model!AB162:AM162)</f>
        <v>0</v>
      </c>
      <c r="E57" s="7" t="n">
        <f aca="false">SUM(Model!AN162:AY162)</f>
        <v>0</v>
      </c>
      <c r="F57" s="7" t="n">
        <f aca="false">SUM(Model!AZ162:BK162)</f>
        <v>0</v>
      </c>
    </row>
    <row r="58" customFormat="false" ht="15" hidden="false" customHeight="false" outlineLevel="0" collapsed="false">
      <c r="A58" s="0" t="s">
        <v>45</v>
      </c>
      <c r="B58" s="7" t="n">
        <f aca="false">SUM(Model!D169:O169)</f>
        <v>1985.51703266118</v>
      </c>
      <c r="C58" s="7" t="n">
        <f aca="false">SUM(Model!P169:AA169)</f>
        <v>9020.09132812971</v>
      </c>
      <c r="D58" s="7" t="n">
        <f aca="false">SUM(Model!AB169:AM169)</f>
        <v>29625.9909120847</v>
      </c>
      <c r="E58" s="7" t="n">
        <f aca="false">SUM(Model!AN169:AY169)</f>
        <v>93448.8997077381</v>
      </c>
      <c r="F58" s="7" t="n">
        <f aca="false">SUM(Model!AZ169:BK169)</f>
        <v>204853.294270246</v>
      </c>
    </row>
    <row r="59" customFormat="false" ht="15" hidden="false" customHeight="false" outlineLevel="0" collapsed="false">
      <c r="A59" s="0" t="s">
        <v>46</v>
      </c>
      <c r="B59" s="7" t="n">
        <f aca="false">SUM(Model!D183:O183)</f>
        <v>633.989849444995</v>
      </c>
      <c r="C59" s="7" t="n">
        <f aca="false">SUM(Model!P183:AA183)</f>
        <v>7171.93613093552</v>
      </c>
      <c r="D59" s="7" t="n">
        <f aca="false">SUM(Model!AB183:AM183)</f>
        <v>26323.2644041978</v>
      </c>
      <c r="E59" s="7" t="n">
        <f aca="false">SUM(Model!AN183:AY183)</f>
        <v>85635.4548467468</v>
      </c>
      <c r="F59" s="7" t="n">
        <f aca="false">SUM(Model!AZ183:BK183)</f>
        <v>189772.094632727</v>
      </c>
    </row>
    <row r="60" customFormat="false" ht="15" hidden="false" customHeight="false" outlineLevel="0" collapsed="false">
      <c r="A60" s="0" t="s">
        <v>47</v>
      </c>
      <c r="B60" s="7" t="n">
        <f aca="false">Model!O156</f>
        <v>414.281591821421</v>
      </c>
      <c r="C60" s="7" t="n">
        <f aca="false">Model!AA156</f>
        <v>1492.25964486278</v>
      </c>
      <c r="D60" s="7" t="n">
        <f aca="false">Model!AM156</f>
        <v>4776.17990887149</v>
      </c>
      <c r="E60" s="7" t="n">
        <f aca="false">Model!AY156</f>
        <v>14824.4948204761</v>
      </c>
      <c r="F60" s="7" t="n">
        <f aca="false">Model!BK156</f>
        <v>24254.3305309008</v>
      </c>
    </row>
    <row r="62" customFormat="false" ht="15" hidden="false" customHeight="false" outlineLevel="0" collapsed="false">
      <c r="A62" s="6" t="s">
        <v>19</v>
      </c>
    </row>
    <row r="63" customFormat="false" ht="15" hidden="false" customHeight="false" outlineLevel="0" collapsed="false">
      <c r="A63" s="0" t="s">
        <v>43</v>
      </c>
      <c r="B63" s="7" t="n">
        <f aca="false">SUM(Model!D226:O226)</f>
        <v>31374.7740848209</v>
      </c>
      <c r="C63" s="7" t="n">
        <f aca="false">SUM(Model!P226:AA226)</f>
        <v>204521.672837686</v>
      </c>
      <c r="D63" s="7" t="n">
        <f aca="false">SUM(Model!AB226:AM226)</f>
        <v>1015502.55210518</v>
      </c>
      <c r="E63" s="7" t="n">
        <f aca="false">SUM(Model!AN226:AY226)</f>
        <v>3145958.64581386</v>
      </c>
      <c r="F63" s="7" t="n">
        <f aca="false">SUM(Model!AZ226:BK226)</f>
        <v>4726267.55960556</v>
      </c>
    </row>
    <row r="64" customFormat="false" ht="15" hidden="false" customHeight="false" outlineLevel="0" collapsed="false">
      <c r="A64" s="0" t="s">
        <v>44</v>
      </c>
      <c r="B64" s="7" t="n">
        <f aca="false">SUM(Model!D227:O227)</f>
        <v>0</v>
      </c>
      <c r="C64" s="7" t="n">
        <f aca="false">SUM(Model!P227:AA227)</f>
        <v>0</v>
      </c>
      <c r="D64" s="7" t="n">
        <f aca="false">SUM(Model!AB227:AM227)</f>
        <v>0</v>
      </c>
      <c r="E64" s="7" t="n">
        <f aca="false">SUM(Model!AN227:AY227)</f>
        <v>0</v>
      </c>
      <c r="F64" s="7" t="n">
        <f aca="false">SUM(Model!AZ227:BK227)</f>
        <v>0</v>
      </c>
    </row>
    <row r="65" customFormat="false" ht="15" hidden="false" customHeight="false" outlineLevel="0" collapsed="false">
      <c r="A65" s="0" t="s">
        <v>45</v>
      </c>
      <c r="B65" s="7" t="n">
        <f aca="false">SUM(Model!D234:O234)</f>
        <v>27666.3242404049</v>
      </c>
      <c r="C65" s="7" t="n">
        <f aca="false">SUM(Model!P234:AA234)</f>
        <v>180329.355979031</v>
      </c>
      <c r="D65" s="7" t="n">
        <f aca="false">SUM(Model!AB234:AM234)</f>
        <v>895349.830201789</v>
      </c>
      <c r="E65" s="7" t="n">
        <f aca="false">SUM(Model!AN234:AY234)</f>
        <v>2773480.78388847</v>
      </c>
      <c r="F65" s="7" t="n">
        <f aca="false">SUM(Model!AZ234:BK234)</f>
        <v>4165680.64546326</v>
      </c>
    </row>
    <row r="66" customFormat="false" ht="15" hidden="false" customHeight="false" outlineLevel="0" collapsed="false">
      <c r="A66" s="0" t="s">
        <v>46</v>
      </c>
      <c r="B66" s="7" t="n">
        <f aca="false">SUM(Model!D248:O248)</f>
        <v>25277.2544244386</v>
      </c>
      <c r="C66" s="7" t="n">
        <f aca="false">SUM(Model!P248:AA248)</f>
        <v>171620.552696539</v>
      </c>
      <c r="D66" s="7" t="n">
        <f aca="false">SUM(Model!AB248:AM248)</f>
        <v>857080.134616078</v>
      </c>
      <c r="E66" s="7" t="n">
        <f aca="false">SUM(Model!AN248:AY248)</f>
        <v>2661027.52257367</v>
      </c>
      <c r="F66" s="7" t="n">
        <f aca="false">SUM(Model!AZ248:BK248)</f>
        <v>4004338.17881567</v>
      </c>
    </row>
    <row r="67" customFormat="false" ht="15" hidden="false" customHeight="false" outlineLevel="0" collapsed="false">
      <c r="A67" s="0" t="s">
        <v>47</v>
      </c>
      <c r="B67" s="7" t="n">
        <f aca="false">Model!O221</f>
        <v>6148.67536947012</v>
      </c>
      <c r="C67" s="7" t="n">
        <f aca="false">Model!AA221</f>
        <v>33055.9019425089</v>
      </c>
      <c r="D67" s="7" t="n">
        <f aca="false">Model!AM221</f>
        <v>161220.973459289</v>
      </c>
      <c r="E67" s="7" t="n">
        <f aca="false">Model!AY221</f>
        <v>342008.772108775</v>
      </c>
      <c r="F67" s="7" t="n">
        <f aca="false">Model!BK221</f>
        <v>444379.004254044</v>
      </c>
    </row>
  </sheetData>
  <mergeCells count="2">
    <mergeCell ref="A2:H2"/>
    <mergeCell ref="A44: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63" min="3" style="0" width="13"/>
  </cols>
  <sheetData>
    <row r="1" customFormat="false" ht="17.35" hidden="false" customHeight="false" outlineLevel="0" collapsed="false">
      <c r="A1" s="3" t="s">
        <v>48</v>
      </c>
    </row>
    <row r="2" customFormat="false" ht="43.5" hidden="false" customHeight="true" outlineLevel="0" collapsed="false">
      <c r="A2" s="4" t="s">
        <v>49</v>
      </c>
      <c r="B2" s="4"/>
      <c r="C2" s="4"/>
      <c r="D2" s="4"/>
      <c r="E2" s="4"/>
      <c r="F2" s="4"/>
      <c r="G2" s="4"/>
    </row>
    <row r="4" customFormat="false" ht="55.2" hidden="false" customHeight="false" outlineLevel="0" collapsed="false">
      <c r="A4" s="5" t="s">
        <v>50</v>
      </c>
      <c r="B4" s="5" t="s">
        <v>51</v>
      </c>
      <c r="C4" s="5" t="s">
        <v>17</v>
      </c>
      <c r="D4" s="5" t="s">
        <v>18</v>
      </c>
      <c r="E4" s="5" t="s">
        <v>19</v>
      </c>
      <c r="F4" s="5" t="s">
        <v>52</v>
      </c>
      <c r="G4" s="5" t="s">
        <v>53</v>
      </c>
    </row>
    <row r="5" customFormat="false" ht="15" hidden="false" customHeight="false" outlineLevel="0" collapsed="false">
      <c r="A5" s="14" t="s">
        <v>54</v>
      </c>
      <c r="B5" s="15"/>
      <c r="C5" s="15"/>
      <c r="D5" s="15"/>
      <c r="E5" s="15"/>
      <c r="F5" s="15"/>
      <c r="G5" s="15"/>
    </row>
    <row r="6" customFormat="false" ht="15" hidden="false" customHeight="false" outlineLevel="0" collapsed="false">
      <c r="A6" s="0" t="s">
        <v>55</v>
      </c>
      <c r="B6" s="0" t="s">
        <v>56</v>
      </c>
      <c r="C6" s="16" t="n">
        <v>19.99</v>
      </c>
      <c r="D6" s="17" t="n">
        <f aca="false">C6</f>
        <v>19.99</v>
      </c>
      <c r="E6" s="17" t="n">
        <f aca="false">C6</f>
        <v>19.99</v>
      </c>
      <c r="F6" s="18" t="s">
        <v>57</v>
      </c>
      <c r="G6" s="0" t="s">
        <v>58</v>
      </c>
    </row>
    <row r="7" customFormat="false" ht="15" hidden="false" customHeight="false" outlineLevel="0" collapsed="false">
      <c r="A7" s="0" t="s">
        <v>59</v>
      </c>
      <c r="B7" s="0" t="s">
        <v>56</v>
      </c>
      <c r="C7" s="16" t="n">
        <v>44.99</v>
      </c>
      <c r="D7" s="17" t="n">
        <f aca="false">C7</f>
        <v>44.99</v>
      </c>
      <c r="E7" s="17" t="n">
        <f aca="false">C7</f>
        <v>44.99</v>
      </c>
      <c r="F7" s="18" t="s">
        <v>57</v>
      </c>
      <c r="G7" s="0" t="s">
        <v>60</v>
      </c>
    </row>
    <row r="8" customFormat="false" ht="15" hidden="false" customHeight="false" outlineLevel="0" collapsed="false">
      <c r="A8" s="0" t="s">
        <v>61</v>
      </c>
      <c r="B8" s="0" t="s">
        <v>56</v>
      </c>
      <c r="C8" s="16" t="n">
        <v>99.99</v>
      </c>
      <c r="D8" s="17" t="n">
        <f aca="false">C8</f>
        <v>99.99</v>
      </c>
      <c r="E8" s="17" t="n">
        <f aca="false">C8</f>
        <v>99.99</v>
      </c>
      <c r="F8" s="18" t="s">
        <v>57</v>
      </c>
      <c r="G8" s="0" t="s">
        <v>62</v>
      </c>
    </row>
    <row r="9" customFormat="false" ht="15" hidden="false" customHeight="false" outlineLevel="0" collapsed="false">
      <c r="A9" s="0" t="s">
        <v>63</v>
      </c>
      <c r="B9" s="0" t="s">
        <v>64</v>
      </c>
      <c r="C9" s="19" t="n">
        <v>0.027</v>
      </c>
      <c r="D9" s="20" t="n">
        <f aca="false">C9</f>
        <v>0.027</v>
      </c>
      <c r="E9" s="20" t="n">
        <f aca="false">C9</f>
        <v>0.027</v>
      </c>
      <c r="F9" s="18" t="s">
        <v>57</v>
      </c>
      <c r="G9" s="0" t="s">
        <v>65</v>
      </c>
    </row>
    <row r="10" customFormat="false" ht="15" hidden="false" customHeight="false" outlineLevel="0" collapsed="false">
      <c r="A10" s="0" t="s">
        <v>66</v>
      </c>
      <c r="B10" s="0" t="s">
        <v>56</v>
      </c>
      <c r="C10" s="16" t="n">
        <v>0.3</v>
      </c>
      <c r="D10" s="17" t="n">
        <f aca="false">C10</f>
        <v>0.3</v>
      </c>
      <c r="E10" s="17" t="n">
        <f aca="false">C10</f>
        <v>0.3</v>
      </c>
      <c r="F10" s="18" t="s">
        <v>57</v>
      </c>
      <c r="G10" s="0" t="s">
        <v>67</v>
      </c>
    </row>
    <row r="11" customFormat="false" ht="15" hidden="false" customHeight="false" outlineLevel="0" collapsed="false">
      <c r="A11" s="0" t="s">
        <v>68</v>
      </c>
      <c r="B11" s="0" t="s">
        <v>64</v>
      </c>
      <c r="C11" s="21" t="n">
        <v>0.3</v>
      </c>
      <c r="D11" s="22" t="n">
        <f aca="false">C11</f>
        <v>0.3</v>
      </c>
      <c r="E11" s="22" t="n">
        <f aca="false">C11</f>
        <v>0.3</v>
      </c>
      <c r="F11" s="23" t="s">
        <v>69</v>
      </c>
      <c r="G11" s="0" t="s">
        <v>70</v>
      </c>
    </row>
    <row r="12" customFormat="false" ht="15" hidden="false" customHeight="false" outlineLevel="0" collapsed="false">
      <c r="A12" s="0" t="s">
        <v>71</v>
      </c>
      <c r="B12" s="0" t="s">
        <v>64</v>
      </c>
      <c r="C12" s="19" t="n">
        <v>0.025</v>
      </c>
      <c r="D12" s="20" t="n">
        <f aca="false">C12</f>
        <v>0.025</v>
      </c>
      <c r="E12" s="20" t="n">
        <f aca="false">C12</f>
        <v>0.025</v>
      </c>
      <c r="F12" s="18" t="s">
        <v>57</v>
      </c>
      <c r="G12" s="0" t="s">
        <v>72</v>
      </c>
    </row>
    <row r="13" customFormat="false" ht="15" hidden="false" customHeight="false" outlineLevel="0" collapsed="false">
      <c r="A13" s="0" t="s">
        <v>73</v>
      </c>
      <c r="B13" s="0" t="s">
        <v>56</v>
      </c>
      <c r="C13" s="16" t="n">
        <v>15</v>
      </c>
      <c r="D13" s="17" t="n">
        <f aca="false">C13</f>
        <v>15</v>
      </c>
      <c r="E13" s="17" t="n">
        <f aca="false">C13</f>
        <v>15</v>
      </c>
      <c r="F13" s="18" t="s">
        <v>57</v>
      </c>
      <c r="G13" s="0" t="s">
        <v>67</v>
      </c>
    </row>
    <row r="14" customFormat="false" ht="15" hidden="false" customHeight="false" outlineLevel="0" collapsed="false">
      <c r="A14" s="0" t="s">
        <v>74</v>
      </c>
      <c r="B14" s="0" t="s">
        <v>64</v>
      </c>
      <c r="C14" s="24" t="n">
        <v>0.004</v>
      </c>
      <c r="D14" s="24" t="n">
        <v>0.002</v>
      </c>
      <c r="E14" s="24" t="n">
        <v>0.001</v>
      </c>
      <c r="F14" s="23" t="s">
        <v>69</v>
      </c>
      <c r="G14" s="0" t="s">
        <v>75</v>
      </c>
    </row>
    <row r="15" customFormat="false" ht="15" hidden="false" customHeight="false" outlineLevel="0" collapsed="false">
      <c r="A15" s="0" t="s">
        <v>76</v>
      </c>
      <c r="B15" s="0" t="s">
        <v>64</v>
      </c>
      <c r="C15" s="24" t="n">
        <v>0.05</v>
      </c>
      <c r="D15" s="24" t="n">
        <v>0.03</v>
      </c>
      <c r="E15" s="24" t="n">
        <v>0.02</v>
      </c>
      <c r="F15" s="23" t="s">
        <v>69</v>
      </c>
      <c r="G15" s="0" t="s">
        <v>77</v>
      </c>
    </row>
    <row r="16" customFormat="false" ht="15" hidden="false" customHeight="false" outlineLevel="0" collapsed="false">
      <c r="A16" s="0" t="s">
        <v>78</v>
      </c>
      <c r="B16" s="0" t="s">
        <v>64</v>
      </c>
      <c r="C16" s="21" t="n">
        <v>0.15</v>
      </c>
      <c r="D16" s="21" t="n">
        <v>0.1</v>
      </c>
      <c r="E16" s="21" t="n">
        <v>0.05</v>
      </c>
      <c r="F16" s="23" t="s">
        <v>69</v>
      </c>
      <c r="G16" s="0" t="s">
        <v>79</v>
      </c>
    </row>
    <row r="17" customFormat="false" ht="15" hidden="false" customHeight="false" outlineLevel="0" collapsed="false">
      <c r="A17" s="0" t="s">
        <v>80</v>
      </c>
      <c r="B17" s="0" t="s">
        <v>64</v>
      </c>
      <c r="C17" s="21" t="n">
        <v>0.2</v>
      </c>
      <c r="D17" s="22" t="n">
        <f aca="false">C17</f>
        <v>0.2</v>
      </c>
      <c r="E17" s="22" t="n">
        <f aca="false">C17</f>
        <v>0.2</v>
      </c>
      <c r="F17" s="23" t="s">
        <v>69</v>
      </c>
      <c r="G17" s="0" t="s">
        <v>81</v>
      </c>
    </row>
    <row r="18" customFormat="false" ht="15" hidden="false" customHeight="false" outlineLevel="0" collapsed="false">
      <c r="A18" s="0" t="s">
        <v>82</v>
      </c>
      <c r="B18" s="0" t="s">
        <v>64</v>
      </c>
      <c r="C18" s="19" t="n">
        <v>0.055</v>
      </c>
      <c r="D18" s="20" t="n">
        <f aca="false">C18</f>
        <v>0.055</v>
      </c>
      <c r="E18" s="20" t="n">
        <f aca="false">C18</f>
        <v>0.055</v>
      </c>
      <c r="F18" s="18" t="s">
        <v>57</v>
      </c>
      <c r="G18" s="0" t="s">
        <v>83</v>
      </c>
    </row>
    <row r="19" customFormat="false" ht="15" hidden="false" customHeight="false" outlineLevel="0" collapsed="false">
      <c r="A19" s="14" t="s">
        <v>84</v>
      </c>
      <c r="B19" s="15"/>
      <c r="C19" s="15"/>
      <c r="D19" s="15"/>
      <c r="E19" s="15"/>
      <c r="F19" s="15"/>
      <c r="G19" s="15"/>
    </row>
    <row r="20" customFormat="false" ht="15" hidden="false" customHeight="false" outlineLevel="0" collapsed="false">
      <c r="A20" s="0" t="s">
        <v>85</v>
      </c>
      <c r="B20" s="0" t="s">
        <v>86</v>
      </c>
      <c r="C20" s="25" t="n">
        <v>500</v>
      </c>
      <c r="D20" s="25" t="n">
        <v>1500</v>
      </c>
      <c r="E20" s="25" t="n">
        <v>4000</v>
      </c>
      <c r="F20" s="23" t="s">
        <v>69</v>
      </c>
      <c r="G20" s="0" t="s">
        <v>87</v>
      </c>
    </row>
    <row r="21" customFormat="false" ht="15" hidden="false" customHeight="false" outlineLevel="0" collapsed="false">
      <c r="A21" s="0" t="s">
        <v>88</v>
      </c>
      <c r="B21" s="0" t="s">
        <v>89</v>
      </c>
      <c r="C21" s="21" t="n">
        <v>0.06</v>
      </c>
      <c r="D21" s="21" t="n">
        <v>0.1</v>
      </c>
      <c r="E21" s="21" t="n">
        <v>0.14</v>
      </c>
      <c r="F21" s="23" t="s">
        <v>69</v>
      </c>
      <c r="G21" s="0" t="s">
        <v>90</v>
      </c>
    </row>
    <row r="22" customFormat="false" ht="15" hidden="false" customHeight="false" outlineLevel="0" collapsed="false">
      <c r="A22" s="0" t="s">
        <v>91</v>
      </c>
      <c r="B22" s="0" t="s">
        <v>86</v>
      </c>
      <c r="C22" s="25" t="n">
        <v>40000</v>
      </c>
      <c r="D22" s="25" t="n">
        <v>120000</v>
      </c>
      <c r="E22" s="25" t="n">
        <v>400000</v>
      </c>
      <c r="F22" s="23" t="s">
        <v>69</v>
      </c>
      <c r="G22" s="0" t="s">
        <v>92</v>
      </c>
    </row>
    <row r="23" customFormat="false" ht="15" hidden="false" customHeight="false" outlineLevel="0" collapsed="false">
      <c r="A23" s="0" t="s">
        <v>93</v>
      </c>
      <c r="B23" s="0" t="s">
        <v>94</v>
      </c>
      <c r="C23" s="26" t="n">
        <v>0</v>
      </c>
      <c r="D23" s="27" t="n">
        <f aca="false">C23</f>
        <v>0</v>
      </c>
      <c r="E23" s="27" t="n">
        <f aca="false">C23</f>
        <v>0</v>
      </c>
      <c r="F23" s="18" t="s">
        <v>57</v>
      </c>
      <c r="G23" s="0" t="s">
        <v>95</v>
      </c>
    </row>
    <row r="24" customFormat="false" ht="15" hidden="false" customHeight="false" outlineLevel="0" collapsed="false">
      <c r="A24" s="0" t="s">
        <v>96</v>
      </c>
      <c r="B24" s="0" t="s">
        <v>56</v>
      </c>
      <c r="C24" s="28" t="n">
        <v>1.5</v>
      </c>
      <c r="D24" s="29" t="n">
        <f aca="false">C24</f>
        <v>1.5</v>
      </c>
      <c r="E24" s="29" t="n">
        <f aca="false">C24</f>
        <v>1.5</v>
      </c>
      <c r="F24" s="23" t="s">
        <v>69</v>
      </c>
      <c r="G24" s="0" t="s">
        <v>97</v>
      </c>
    </row>
    <row r="25" customFormat="false" ht="15" hidden="false" customHeight="false" outlineLevel="0" collapsed="false">
      <c r="A25" s="0" t="s">
        <v>98</v>
      </c>
      <c r="B25" s="0" t="s">
        <v>64</v>
      </c>
      <c r="C25" s="24" t="n">
        <v>0.015</v>
      </c>
      <c r="D25" s="24" t="n">
        <v>0.025</v>
      </c>
      <c r="E25" s="24" t="n">
        <v>0.04</v>
      </c>
      <c r="F25" s="23" t="s">
        <v>69</v>
      </c>
      <c r="G25" s="0" t="s">
        <v>99</v>
      </c>
    </row>
    <row r="26" customFormat="false" ht="15" hidden="false" customHeight="false" outlineLevel="0" collapsed="false">
      <c r="A26" s="0" t="s">
        <v>100</v>
      </c>
      <c r="B26" s="0" t="s">
        <v>64</v>
      </c>
      <c r="C26" s="21" t="n">
        <v>0.35</v>
      </c>
      <c r="D26" s="21" t="n">
        <v>0.45</v>
      </c>
      <c r="E26" s="21" t="n">
        <v>0.55</v>
      </c>
      <c r="F26" s="23" t="s">
        <v>69</v>
      </c>
      <c r="G26" s="0" t="s">
        <v>101</v>
      </c>
    </row>
    <row r="27" customFormat="false" ht="15" hidden="false" customHeight="false" outlineLevel="0" collapsed="false">
      <c r="A27" s="0" t="s">
        <v>102</v>
      </c>
      <c r="B27" s="0" t="s">
        <v>64</v>
      </c>
      <c r="C27" s="24" t="n">
        <v>0.025</v>
      </c>
      <c r="D27" s="24" t="n">
        <v>0.04</v>
      </c>
      <c r="E27" s="24" t="n">
        <v>0.07</v>
      </c>
      <c r="F27" s="23" t="s">
        <v>69</v>
      </c>
      <c r="G27" s="0" t="s">
        <v>103</v>
      </c>
    </row>
    <row r="28" customFormat="false" ht="15" hidden="false" customHeight="false" outlineLevel="0" collapsed="false">
      <c r="A28" s="0" t="s">
        <v>104</v>
      </c>
      <c r="B28" s="0" t="s">
        <v>64</v>
      </c>
      <c r="C28" s="21" t="n">
        <v>0.65</v>
      </c>
      <c r="D28" s="21" t="n">
        <v>0.55</v>
      </c>
      <c r="E28" s="21" t="n">
        <v>0.45</v>
      </c>
      <c r="F28" s="23" t="s">
        <v>69</v>
      </c>
      <c r="G28" s="0" t="s">
        <v>105</v>
      </c>
    </row>
    <row r="29" customFormat="false" ht="15" hidden="false" customHeight="false" outlineLevel="0" collapsed="false">
      <c r="A29" s="0" t="s">
        <v>106</v>
      </c>
      <c r="B29" s="0" t="s">
        <v>64</v>
      </c>
      <c r="C29" s="21" t="n">
        <v>0.28</v>
      </c>
      <c r="D29" s="21" t="n">
        <v>0.35</v>
      </c>
      <c r="E29" s="21" t="n">
        <v>0.4</v>
      </c>
      <c r="F29" s="23" t="s">
        <v>69</v>
      </c>
    </row>
    <row r="30" customFormat="false" ht="15" hidden="false" customHeight="false" outlineLevel="0" collapsed="false">
      <c r="A30" s="0" t="s">
        <v>107</v>
      </c>
      <c r="B30" s="0" t="s">
        <v>64</v>
      </c>
      <c r="C30" s="30" t="n">
        <f aca="false">1-C28-C29</f>
        <v>0.07</v>
      </c>
      <c r="D30" s="31" t="n">
        <f aca="false">1-D28-D29</f>
        <v>0.1</v>
      </c>
      <c r="E30" s="31" t="n">
        <f aca="false">1-E28-E29</f>
        <v>0.15</v>
      </c>
      <c r="F30" s="0" t="s">
        <v>108</v>
      </c>
      <c r="G30" s="0" t="s">
        <v>109</v>
      </c>
    </row>
    <row r="31" customFormat="false" ht="15" hidden="false" customHeight="false" outlineLevel="0" collapsed="false">
      <c r="A31" s="0" t="s">
        <v>110</v>
      </c>
      <c r="B31" s="0" t="s">
        <v>111</v>
      </c>
      <c r="C31" s="32" t="n">
        <v>0</v>
      </c>
      <c r="D31" s="33" t="n">
        <f aca="false">C31</f>
        <v>0</v>
      </c>
      <c r="E31" s="33" t="n">
        <f aca="false">C31</f>
        <v>0</v>
      </c>
      <c r="F31" s="18" t="s">
        <v>57</v>
      </c>
      <c r="G31" s="0" t="s">
        <v>112</v>
      </c>
    </row>
    <row r="32" customFormat="false" ht="15" hidden="false" customHeight="false" outlineLevel="0" collapsed="false">
      <c r="A32" s="0" t="s">
        <v>113</v>
      </c>
      <c r="B32" s="0" t="s">
        <v>64</v>
      </c>
      <c r="C32" s="21" t="n">
        <v>0.1</v>
      </c>
      <c r="D32" s="22" t="n">
        <f aca="false">C32</f>
        <v>0.1</v>
      </c>
      <c r="E32" s="22" t="n">
        <f aca="false">C32</f>
        <v>0.1</v>
      </c>
      <c r="F32" s="23" t="s">
        <v>69</v>
      </c>
      <c r="G32" s="0" t="s">
        <v>114</v>
      </c>
    </row>
    <row r="33" customFormat="false" ht="15" hidden="false" customHeight="false" outlineLevel="0" collapsed="false">
      <c r="A33" s="0" t="s">
        <v>115</v>
      </c>
      <c r="B33" s="0" t="s">
        <v>56</v>
      </c>
      <c r="C33" s="16" t="n">
        <v>0</v>
      </c>
      <c r="D33" s="17" t="n">
        <f aca="false">C33</f>
        <v>0</v>
      </c>
      <c r="E33" s="17" t="n">
        <f aca="false">C33</f>
        <v>0</v>
      </c>
      <c r="F33" s="18" t="s">
        <v>57</v>
      </c>
      <c r="G33" s="0" t="s">
        <v>116</v>
      </c>
    </row>
    <row r="34" customFormat="false" ht="15" hidden="false" customHeight="false" outlineLevel="0" collapsed="false">
      <c r="A34" s="14" t="s">
        <v>117</v>
      </c>
      <c r="B34" s="15"/>
      <c r="C34" s="15"/>
      <c r="D34" s="15"/>
      <c r="E34" s="15"/>
      <c r="F34" s="15"/>
      <c r="G34" s="15"/>
    </row>
    <row r="35" customFormat="false" ht="15" hidden="false" customHeight="false" outlineLevel="0" collapsed="false">
      <c r="A35" s="0" t="s">
        <v>118</v>
      </c>
      <c r="B35" s="0" t="s">
        <v>89</v>
      </c>
      <c r="C35" s="24" t="n">
        <v>0.12</v>
      </c>
      <c r="D35" s="24" t="n">
        <v>0.09</v>
      </c>
      <c r="E35" s="24" t="n">
        <v>0.07</v>
      </c>
      <c r="F35" s="23" t="s">
        <v>69</v>
      </c>
      <c r="G35" s="0" t="s">
        <v>119</v>
      </c>
    </row>
    <row r="36" customFormat="false" ht="15" hidden="false" customHeight="false" outlineLevel="0" collapsed="false">
      <c r="A36" s="0" t="s">
        <v>120</v>
      </c>
      <c r="B36" s="0" t="s">
        <v>89</v>
      </c>
      <c r="C36" s="24" t="n">
        <v>0.08</v>
      </c>
      <c r="D36" s="24" t="n">
        <v>0.06</v>
      </c>
      <c r="E36" s="24" t="n">
        <v>0.05</v>
      </c>
      <c r="F36" s="23" t="s">
        <v>69</v>
      </c>
    </row>
    <row r="37" customFormat="false" ht="15" hidden="false" customHeight="false" outlineLevel="0" collapsed="false">
      <c r="A37" s="0" t="s">
        <v>121</v>
      </c>
      <c r="B37" s="0" t="s">
        <v>89</v>
      </c>
      <c r="C37" s="24" t="n">
        <v>0.06</v>
      </c>
      <c r="D37" s="24" t="n">
        <v>0.045</v>
      </c>
      <c r="E37" s="24" t="n">
        <v>0.035</v>
      </c>
      <c r="F37" s="23" t="s">
        <v>69</v>
      </c>
    </row>
    <row r="38" customFormat="false" ht="15" hidden="false" customHeight="false" outlineLevel="0" collapsed="false">
      <c r="A38" s="0" t="s">
        <v>122</v>
      </c>
      <c r="B38" s="0" t="s">
        <v>64</v>
      </c>
      <c r="C38" s="21" t="n">
        <v>0</v>
      </c>
      <c r="D38" s="21" t="n">
        <v>0.02</v>
      </c>
      <c r="E38" s="21" t="n">
        <v>0.05</v>
      </c>
      <c r="F38" s="23" t="s">
        <v>69</v>
      </c>
      <c r="G38" s="0" t="s">
        <v>123</v>
      </c>
    </row>
    <row r="39" customFormat="false" ht="15" hidden="false" customHeight="false" outlineLevel="0" collapsed="false">
      <c r="A39" s="14" t="s">
        <v>124</v>
      </c>
      <c r="B39" s="15"/>
      <c r="C39" s="15"/>
      <c r="D39" s="15"/>
      <c r="E39" s="15"/>
      <c r="F39" s="15"/>
      <c r="G39" s="15"/>
    </row>
    <row r="40" customFormat="false" ht="15" hidden="false" customHeight="false" outlineLevel="0" collapsed="false">
      <c r="A40" s="0" t="s">
        <v>125</v>
      </c>
      <c r="B40" s="0" t="s">
        <v>56</v>
      </c>
      <c r="C40" s="34" t="n">
        <f aca="false">CostPerTask!$B$76</f>
        <v>0.00846084013118557</v>
      </c>
      <c r="D40" s="34" t="n">
        <f aca="false">CostPerTask!$B$76</f>
        <v>0.00846084013118557</v>
      </c>
      <c r="E40" s="34" t="n">
        <f aca="false">CostPerTask!$B$76</f>
        <v>0.00846084013118557</v>
      </c>
      <c r="F40" s="0" t="s">
        <v>126</v>
      </c>
      <c r="G40" s="0" t="s">
        <v>127</v>
      </c>
    </row>
    <row r="41" customFormat="false" ht="15" hidden="false" customHeight="false" outlineLevel="0" collapsed="false">
      <c r="A41" s="0" t="s">
        <v>128</v>
      </c>
      <c r="B41" s="0" t="s">
        <v>129</v>
      </c>
      <c r="C41" s="25" t="n">
        <v>250</v>
      </c>
      <c r="D41" s="25" t="n">
        <v>150</v>
      </c>
      <c r="E41" s="25" t="n">
        <v>120</v>
      </c>
      <c r="F41" s="23" t="s">
        <v>69</v>
      </c>
      <c r="G41" s="0" t="s">
        <v>130</v>
      </c>
    </row>
    <row r="42" customFormat="false" ht="15" hidden="false" customHeight="false" outlineLevel="0" collapsed="false">
      <c r="A42" s="0" t="s">
        <v>131</v>
      </c>
      <c r="B42" s="0" t="s">
        <v>129</v>
      </c>
      <c r="C42" s="25" t="n">
        <v>600</v>
      </c>
      <c r="D42" s="25" t="n">
        <v>350</v>
      </c>
      <c r="E42" s="25" t="n">
        <v>300</v>
      </c>
      <c r="F42" s="23" t="s">
        <v>69</v>
      </c>
    </row>
    <row r="43" customFormat="false" ht="15" hidden="false" customHeight="false" outlineLevel="0" collapsed="false">
      <c r="A43" s="0" t="s">
        <v>132</v>
      </c>
      <c r="B43" s="0" t="s">
        <v>129</v>
      </c>
      <c r="C43" s="25" t="n">
        <v>1100</v>
      </c>
      <c r="D43" s="25" t="n">
        <v>700</v>
      </c>
      <c r="E43" s="25" t="n">
        <v>600</v>
      </c>
      <c r="F43" s="23" t="s">
        <v>69</v>
      </c>
    </row>
    <row r="44" customFormat="false" ht="15" hidden="false" customHeight="false" outlineLevel="0" collapsed="false">
      <c r="A44" s="0" t="s">
        <v>133</v>
      </c>
      <c r="B44" s="0" t="s">
        <v>56</v>
      </c>
      <c r="C44" s="35" t="n">
        <v>0</v>
      </c>
      <c r="D44" s="36" t="n">
        <f aca="false">C44</f>
        <v>0</v>
      </c>
      <c r="E44" s="36" t="n">
        <f aca="false">C44</f>
        <v>0</v>
      </c>
      <c r="F44" s="0" t="s">
        <v>126</v>
      </c>
      <c r="G44" s="0" t="s">
        <v>134</v>
      </c>
    </row>
    <row r="45" customFormat="false" ht="15" hidden="false" customHeight="false" outlineLevel="0" collapsed="false">
      <c r="A45" s="0" t="s">
        <v>135</v>
      </c>
      <c r="B45" s="0" t="s">
        <v>56</v>
      </c>
      <c r="C45" s="28" t="n">
        <v>2.5</v>
      </c>
      <c r="D45" s="28" t="n">
        <v>1.5</v>
      </c>
      <c r="E45" s="28" t="n">
        <v>1</v>
      </c>
      <c r="F45" s="23" t="s">
        <v>69</v>
      </c>
      <c r="G45" s="0" t="s">
        <v>136</v>
      </c>
    </row>
    <row r="46" customFormat="false" ht="15" hidden="false" customHeight="false" outlineLevel="0" collapsed="false">
      <c r="A46" s="0" t="s">
        <v>137</v>
      </c>
      <c r="B46" s="0" t="s">
        <v>56</v>
      </c>
      <c r="C46" s="28" t="n">
        <v>7</v>
      </c>
      <c r="D46" s="28" t="n">
        <v>4</v>
      </c>
      <c r="E46" s="28" t="n">
        <v>3</v>
      </c>
      <c r="F46" s="23" t="s">
        <v>69</v>
      </c>
    </row>
    <row r="47" customFormat="false" ht="15" hidden="false" customHeight="false" outlineLevel="0" collapsed="false">
      <c r="A47" s="0" t="s">
        <v>138</v>
      </c>
      <c r="B47" s="0" t="s">
        <v>89</v>
      </c>
      <c r="C47" s="21" t="n">
        <v>0.3</v>
      </c>
      <c r="D47" s="22" t="n">
        <f aca="false">C47</f>
        <v>0.3</v>
      </c>
      <c r="E47" s="22" t="n">
        <f aca="false">C47</f>
        <v>0.3</v>
      </c>
      <c r="F47" s="23" t="s">
        <v>69</v>
      </c>
      <c r="G47" s="0" t="s">
        <v>139</v>
      </c>
    </row>
    <row r="48" customFormat="false" ht="15" hidden="false" customHeight="false" outlineLevel="0" collapsed="false">
      <c r="A48" s="0" t="s">
        <v>140</v>
      </c>
      <c r="B48" s="0" t="s">
        <v>141</v>
      </c>
      <c r="C48" s="25" t="n">
        <v>12</v>
      </c>
      <c r="D48" s="25" t="n">
        <v>8</v>
      </c>
      <c r="E48" s="25" t="n">
        <v>8</v>
      </c>
      <c r="F48" s="23" t="s">
        <v>69</v>
      </c>
      <c r="G48" s="0" t="s">
        <v>142</v>
      </c>
    </row>
    <row r="49" customFormat="false" ht="15" hidden="false" customHeight="false" outlineLevel="0" collapsed="false">
      <c r="A49" s="0" t="s">
        <v>143</v>
      </c>
      <c r="B49" s="0" t="s">
        <v>144</v>
      </c>
      <c r="C49" s="12" t="n">
        <f aca="false">CostPerTask!$B$90</f>
        <v>153.846153846154</v>
      </c>
      <c r="D49" s="12" t="n">
        <f aca="false">CostPerTask!$B$90</f>
        <v>153.846153846154</v>
      </c>
      <c r="E49" s="12" t="n">
        <f aca="false">CostPerTask!$B$90</f>
        <v>153.846153846154</v>
      </c>
      <c r="F49" s="0" t="s">
        <v>126</v>
      </c>
      <c r="G49" s="0" t="s">
        <v>145</v>
      </c>
    </row>
    <row r="50" customFormat="false" ht="15" hidden="false" customHeight="false" outlineLevel="0" collapsed="false">
      <c r="A50" s="0" t="s">
        <v>146</v>
      </c>
      <c r="B50" s="0" t="s">
        <v>56</v>
      </c>
      <c r="C50" s="34" t="n">
        <f aca="false">CostPerTask!$B$93</f>
        <v>0.0006843</v>
      </c>
      <c r="D50" s="34" t="n">
        <f aca="false">CostPerTask!$B$93</f>
        <v>0.0006843</v>
      </c>
      <c r="E50" s="34" t="n">
        <f aca="false">CostPerTask!$B$93</f>
        <v>0.0006843</v>
      </c>
      <c r="F50" s="0" t="s">
        <v>126</v>
      </c>
      <c r="G50" s="0" t="s">
        <v>147</v>
      </c>
    </row>
    <row r="51" customFormat="false" ht="15" hidden="false" customHeight="false" outlineLevel="0" collapsed="false">
      <c r="A51" s="0" t="s">
        <v>148</v>
      </c>
      <c r="B51" s="0" t="s">
        <v>149</v>
      </c>
      <c r="C51" s="37" t="n">
        <v>0</v>
      </c>
      <c r="D51" s="38" t="n">
        <f aca="false">C51</f>
        <v>0</v>
      </c>
      <c r="E51" s="38" t="n">
        <f aca="false">C51</f>
        <v>0</v>
      </c>
      <c r="F51" s="18" t="s">
        <v>57</v>
      </c>
      <c r="G51" s="0" t="s">
        <v>150</v>
      </c>
    </row>
    <row r="52" customFormat="false" ht="15" hidden="false" customHeight="false" outlineLevel="0" collapsed="false">
      <c r="A52" s="14" t="s">
        <v>151</v>
      </c>
      <c r="B52" s="15"/>
      <c r="C52" s="15"/>
      <c r="D52" s="15"/>
      <c r="E52" s="15"/>
      <c r="F52" s="15"/>
      <c r="G52" s="15"/>
    </row>
    <row r="53" customFormat="false" ht="15" hidden="false" customHeight="false" outlineLevel="0" collapsed="false">
      <c r="A53" s="0" t="s">
        <v>152</v>
      </c>
      <c r="B53" s="0" t="s">
        <v>94</v>
      </c>
      <c r="C53" s="10" t="n">
        <v>60</v>
      </c>
      <c r="D53" s="7" t="n">
        <f aca="false">C53</f>
        <v>60</v>
      </c>
      <c r="E53" s="7" t="n">
        <f aca="false">C53</f>
        <v>60</v>
      </c>
      <c r="F53" s="0" t="s">
        <v>153</v>
      </c>
      <c r="G53" s="0" t="s">
        <v>154</v>
      </c>
    </row>
    <row r="54" customFormat="false" ht="15" hidden="false" customHeight="false" outlineLevel="0" collapsed="false">
      <c r="A54" s="0" t="s">
        <v>155</v>
      </c>
      <c r="B54" s="0" t="s">
        <v>56</v>
      </c>
      <c r="C54" s="39" t="n">
        <v>0.04</v>
      </c>
      <c r="D54" s="39" t="n">
        <v>0.03</v>
      </c>
      <c r="E54" s="39" t="n">
        <v>0.02</v>
      </c>
      <c r="F54" s="23" t="s">
        <v>69</v>
      </c>
      <c r="G54" s="0" t="s">
        <v>156</v>
      </c>
    </row>
    <row r="55" customFormat="false" ht="15" hidden="false" customHeight="false" outlineLevel="0" collapsed="false">
      <c r="A55" s="0" t="s">
        <v>157</v>
      </c>
      <c r="B55" s="0" t="s">
        <v>158</v>
      </c>
      <c r="C55" s="40" t="n">
        <v>6</v>
      </c>
      <c r="D55" s="40" t="n">
        <v>4</v>
      </c>
      <c r="E55" s="40" t="n">
        <v>3</v>
      </c>
      <c r="F55" s="23" t="s">
        <v>69</v>
      </c>
      <c r="G55" s="0" t="s">
        <v>159</v>
      </c>
    </row>
    <row r="56" customFormat="false" ht="15" hidden="false" customHeight="false" outlineLevel="0" collapsed="false">
      <c r="A56" s="0" t="s">
        <v>160</v>
      </c>
      <c r="B56" s="0" t="s">
        <v>161</v>
      </c>
      <c r="C56" s="41" t="n">
        <v>30</v>
      </c>
      <c r="D56" s="42" t="n">
        <f aca="false">C56</f>
        <v>30</v>
      </c>
      <c r="E56" s="42" t="n">
        <f aca="false">C56</f>
        <v>30</v>
      </c>
      <c r="F56" s="23" t="s">
        <v>69</v>
      </c>
      <c r="G56" s="0" t="s">
        <v>162</v>
      </c>
    </row>
    <row r="57" customFormat="false" ht="15" hidden="false" customHeight="false" outlineLevel="0" collapsed="false">
      <c r="A57" s="0" t="s">
        <v>163</v>
      </c>
      <c r="B57" s="0" t="s">
        <v>94</v>
      </c>
      <c r="C57" s="43" t="n">
        <v>40</v>
      </c>
      <c r="D57" s="44" t="n">
        <f aca="false">C57</f>
        <v>40</v>
      </c>
      <c r="E57" s="44" t="n">
        <f aca="false">C57</f>
        <v>40</v>
      </c>
      <c r="F57" s="23" t="s">
        <v>69</v>
      </c>
    </row>
    <row r="58" customFormat="false" ht="15" hidden="false" customHeight="false" outlineLevel="0" collapsed="false">
      <c r="A58" s="0" t="s">
        <v>164</v>
      </c>
      <c r="B58" s="0" t="s">
        <v>94</v>
      </c>
      <c r="C58" s="26" t="n">
        <v>0</v>
      </c>
      <c r="D58" s="27" t="n">
        <f aca="false">C58</f>
        <v>0</v>
      </c>
      <c r="E58" s="27" t="n">
        <f aca="false">C58</f>
        <v>0</v>
      </c>
      <c r="F58" s="18" t="s">
        <v>57</v>
      </c>
      <c r="G58" s="0" t="s">
        <v>165</v>
      </c>
    </row>
    <row r="59" customFormat="false" ht="15" hidden="false" customHeight="false" outlineLevel="0" collapsed="false">
      <c r="A59" s="14" t="s">
        <v>166</v>
      </c>
      <c r="B59" s="15"/>
      <c r="C59" s="15"/>
      <c r="D59" s="15"/>
      <c r="E59" s="15"/>
      <c r="F59" s="15"/>
      <c r="G59" s="15"/>
    </row>
    <row r="60" customFormat="false" ht="15" hidden="false" customHeight="false" outlineLevel="0" collapsed="false">
      <c r="A60" s="0" t="s">
        <v>167</v>
      </c>
      <c r="B60" s="0" t="s">
        <v>168</v>
      </c>
      <c r="C60" s="45" t="n">
        <v>0</v>
      </c>
      <c r="D60" s="46" t="n">
        <f aca="false">C60</f>
        <v>0</v>
      </c>
      <c r="E60" s="46" t="n">
        <f aca="false">C60</f>
        <v>0</v>
      </c>
      <c r="F60" s="18" t="s">
        <v>57</v>
      </c>
      <c r="G60" s="0" t="s">
        <v>169</v>
      </c>
    </row>
    <row r="61" customFormat="false" ht="15" hidden="false" customHeight="false" outlineLevel="0" collapsed="false">
      <c r="A61" s="0" t="s">
        <v>170</v>
      </c>
      <c r="B61" s="0" t="s">
        <v>56</v>
      </c>
      <c r="C61" s="47" t="n">
        <v>0</v>
      </c>
      <c r="D61" s="48" t="n">
        <f aca="false">C61</f>
        <v>0</v>
      </c>
      <c r="E61" s="48" t="n">
        <f aca="false">C61</f>
        <v>0</v>
      </c>
      <c r="F61" s="18" t="s">
        <v>57</v>
      </c>
    </row>
    <row r="62" customFormat="false" ht="15" hidden="false" customHeight="false" outlineLevel="0" collapsed="false">
      <c r="A62" s="0" t="s">
        <v>171</v>
      </c>
      <c r="B62" s="0" t="s">
        <v>56</v>
      </c>
      <c r="C62" s="36" t="n">
        <f aca="false">C42*C40+C45</f>
        <v>7.57650407871134</v>
      </c>
      <c r="D62" s="36" t="n">
        <f aca="false">D42*D40+D45</f>
        <v>4.46129404591495</v>
      </c>
      <c r="E62" s="36" t="n">
        <f aca="false">E42*E40+E45</f>
        <v>3.53825203935567</v>
      </c>
      <c r="F62" s="0" t="s">
        <v>108</v>
      </c>
      <c r="G62" s="0" t="s">
        <v>172</v>
      </c>
    </row>
    <row r="65" customFormat="false" ht="16.15" hidden="false" customHeight="false" outlineLevel="0" collapsed="false">
      <c r="A65" s="49" t="s">
        <v>173</v>
      </c>
      <c r="B65" s="15"/>
      <c r="C65" s="15"/>
      <c r="D65" s="15"/>
      <c r="E65" s="15"/>
      <c r="F65" s="15"/>
      <c r="G65" s="15"/>
    </row>
    <row r="66" customFormat="false" ht="41.75" hidden="false" customHeight="false" outlineLevel="0" collapsed="false">
      <c r="A66" s="5" t="s">
        <v>174</v>
      </c>
      <c r="B66" s="5" t="s">
        <v>11</v>
      </c>
      <c r="C66" s="5" t="s">
        <v>12</v>
      </c>
      <c r="D66" s="5" t="s">
        <v>13</v>
      </c>
      <c r="E66" s="5" t="s">
        <v>175</v>
      </c>
      <c r="F66" s="5" t="s">
        <v>176</v>
      </c>
      <c r="G66" s="5" t="s">
        <v>177</v>
      </c>
    </row>
    <row r="67" customFormat="false" ht="15" hidden="false" customHeight="false" outlineLevel="0" collapsed="false">
      <c r="A67" s="0" t="s">
        <v>30</v>
      </c>
      <c r="B67" s="0" t="str">
        <f aca="false">IFERROR(MATCH(1,$D$122:$BK$122,0),"not in 60 mo")</f>
        <v>not in 60 mo</v>
      </c>
      <c r="C67" s="7" t="str">
        <f aca="false">IFERROR(INDEX($D$91:$BK$91,B67),"-")</f>
        <v>-</v>
      </c>
      <c r="D67" s="8" t="str">
        <f aca="false">IFERROR(INDEX($D$88:$BK$88,B67),"-")</f>
        <v>-</v>
      </c>
      <c r="E67" s="8" t="str">
        <f aca="false">IFERROR(INDEX($D$78:$BK$78,B67),"-")</f>
        <v>-</v>
      </c>
      <c r="F67" s="8" t="str">
        <f aca="false">IFERROR(INDEX($D$81:$BK$81,B67),"-")</f>
        <v>-</v>
      </c>
      <c r="G67" s="9" t="str">
        <f aca="false">IFERROR(F67/E67,"-")</f>
        <v>-</v>
      </c>
    </row>
    <row r="68" customFormat="false" ht="15" hidden="false" customHeight="false" outlineLevel="0" collapsed="false">
      <c r="A68" s="0" t="s">
        <v>31</v>
      </c>
      <c r="B68" s="0" t="str">
        <f aca="false">IFERROR(MATCH(1,$D$123:$BK$123,0),"not in 60 mo")</f>
        <v>not in 60 mo</v>
      </c>
      <c r="C68" s="7" t="str">
        <f aca="false">IFERROR(INDEX($D$91:$BK$91,B68),"-")</f>
        <v>-</v>
      </c>
      <c r="D68" s="8" t="str">
        <f aca="false">IFERROR(INDEX($D$88:$BK$88,B68),"-")</f>
        <v>-</v>
      </c>
      <c r="E68" s="8" t="str">
        <f aca="false">IFERROR(INDEX($D$78:$BK$78,B68),"-")</f>
        <v>-</v>
      </c>
      <c r="F68" s="8" t="str">
        <f aca="false">IFERROR(INDEX($D$81:$BK$81,B68),"-")</f>
        <v>-</v>
      </c>
      <c r="G68" s="9" t="str">
        <f aca="false">IFERROR(F68/E68,"-")</f>
        <v>-</v>
      </c>
    </row>
    <row r="69" customFormat="false" ht="15" hidden="false" customHeight="false" outlineLevel="0" collapsed="false">
      <c r="A69" s="0" t="s">
        <v>32</v>
      </c>
      <c r="B69" s="0" t="str">
        <f aca="false">IFERROR(MATCH(1,$D$124:$BK$124,0),"not in 60 mo")</f>
        <v>not in 60 mo</v>
      </c>
      <c r="C69" s="7" t="str">
        <f aca="false">IFERROR(INDEX($D$91:$BK$91,B69),"-")</f>
        <v>-</v>
      </c>
      <c r="D69" s="8" t="str">
        <f aca="false">IFERROR(INDEX($D$88:$BK$88,B69),"-")</f>
        <v>-</v>
      </c>
      <c r="E69" s="8" t="str">
        <f aca="false">IFERROR(INDEX($D$78:$BK$78,B69),"-")</f>
        <v>-</v>
      </c>
      <c r="F69" s="8" t="str">
        <f aca="false">IFERROR(INDEX($D$81:$BK$81,B69),"-")</f>
        <v>-</v>
      </c>
      <c r="G69" s="9" t="str">
        <f aca="false">IFERROR(F69/E69,"-")</f>
        <v>-</v>
      </c>
    </row>
    <row r="70" customFormat="false" ht="15" hidden="false" customHeight="false" outlineLevel="0" collapsed="false">
      <c r="A70" s="0" t="s">
        <v>178</v>
      </c>
      <c r="B70" s="0" t="str">
        <f aca="false">IFERROR(MATCH(1,$D$125:$BK$125,0),"not in 60 mo")</f>
        <v>not in 60 mo</v>
      </c>
      <c r="C70" s="7" t="str">
        <f aca="false">IFERROR(INDEX($D$91:$BK$91,B70),"-")</f>
        <v>-</v>
      </c>
      <c r="D70" s="8" t="str">
        <f aca="false">IFERROR(INDEX($D$88:$BK$88,B70),"-")</f>
        <v>-</v>
      </c>
      <c r="E70" s="8" t="str">
        <f aca="false">IFERROR(INDEX($D$78:$BK$78,B70),"-")</f>
        <v>-</v>
      </c>
      <c r="F70" s="8" t="str">
        <f aca="false">IFERROR(INDEX($D$81:$BK$81,B70),"-")</f>
        <v>-</v>
      </c>
      <c r="G70" s="9" t="str">
        <f aca="false">IFERROR(F70/E70,"-")</f>
        <v>-</v>
      </c>
    </row>
    <row r="71" customFormat="false" ht="15" hidden="false" customHeight="false" outlineLevel="0" collapsed="false">
      <c r="A71" s="0" t="s">
        <v>179</v>
      </c>
      <c r="B71" s="0" t="str">
        <f aca="false">IFERROR(MATCH(1,$D$126:$BK$126,0),"not in 60 mo")</f>
        <v>not in 60 mo</v>
      </c>
      <c r="C71" s="7" t="str">
        <f aca="false">IFERROR(INDEX($D$91:$BK$91,B71),"-")</f>
        <v>-</v>
      </c>
      <c r="D71" s="8" t="str">
        <f aca="false">IFERROR(INDEX($D$88:$BK$88,B71),"-")</f>
        <v>-</v>
      </c>
      <c r="E71" s="8" t="str">
        <f aca="false">IFERROR(INDEX($D$78:$BK$78,B71),"-")</f>
        <v>-</v>
      </c>
      <c r="F71" s="8" t="str">
        <f aca="false">IFERROR(INDEX($D$81:$BK$81,B71),"-")</f>
        <v>-</v>
      </c>
      <c r="G71" s="9" t="str">
        <f aca="false">IFERROR(F71/E71,"-")</f>
        <v>-</v>
      </c>
    </row>
    <row r="74" customFormat="false" ht="15" hidden="false" customHeight="false" outlineLevel="0" collapsed="false">
      <c r="A74" s="0" t="s">
        <v>180</v>
      </c>
      <c r="C74" s="0" t="n">
        <v>0</v>
      </c>
      <c r="D74" s="50" t="n">
        <v>1</v>
      </c>
      <c r="E74" s="50" t="n">
        <v>2</v>
      </c>
      <c r="F74" s="50" t="n">
        <v>3</v>
      </c>
      <c r="G74" s="50" t="n">
        <v>4</v>
      </c>
      <c r="H74" s="50" t="n">
        <v>5</v>
      </c>
      <c r="I74" s="50" t="n">
        <v>6</v>
      </c>
      <c r="J74" s="50" t="n">
        <v>7</v>
      </c>
      <c r="K74" s="50" t="n">
        <v>8</v>
      </c>
      <c r="L74" s="50" t="n">
        <v>9</v>
      </c>
      <c r="M74" s="50" t="n">
        <v>10</v>
      </c>
      <c r="N74" s="50" t="n">
        <v>11</v>
      </c>
      <c r="O74" s="50" t="n">
        <v>12</v>
      </c>
      <c r="P74" s="50" t="n">
        <v>13</v>
      </c>
      <c r="Q74" s="50" t="n">
        <v>14</v>
      </c>
      <c r="R74" s="50" t="n">
        <v>15</v>
      </c>
      <c r="S74" s="50" t="n">
        <v>16</v>
      </c>
      <c r="T74" s="50" t="n">
        <v>17</v>
      </c>
      <c r="U74" s="50" t="n">
        <v>18</v>
      </c>
      <c r="V74" s="50" t="n">
        <v>19</v>
      </c>
      <c r="W74" s="50" t="n">
        <v>20</v>
      </c>
      <c r="X74" s="50" t="n">
        <v>21</v>
      </c>
      <c r="Y74" s="50" t="n">
        <v>22</v>
      </c>
      <c r="Z74" s="50" t="n">
        <v>23</v>
      </c>
      <c r="AA74" s="50" t="n">
        <v>24</v>
      </c>
      <c r="AB74" s="50" t="n">
        <v>25</v>
      </c>
      <c r="AC74" s="50" t="n">
        <v>26</v>
      </c>
      <c r="AD74" s="50" t="n">
        <v>27</v>
      </c>
      <c r="AE74" s="50" t="n">
        <v>28</v>
      </c>
      <c r="AF74" s="50" t="n">
        <v>29</v>
      </c>
      <c r="AG74" s="50" t="n">
        <v>30</v>
      </c>
      <c r="AH74" s="50" t="n">
        <v>31</v>
      </c>
      <c r="AI74" s="50" t="n">
        <v>32</v>
      </c>
      <c r="AJ74" s="50" t="n">
        <v>33</v>
      </c>
      <c r="AK74" s="50" t="n">
        <v>34</v>
      </c>
      <c r="AL74" s="50" t="n">
        <v>35</v>
      </c>
      <c r="AM74" s="50" t="n">
        <v>36</v>
      </c>
      <c r="AN74" s="50" t="n">
        <v>37</v>
      </c>
      <c r="AO74" s="50" t="n">
        <v>38</v>
      </c>
      <c r="AP74" s="50" t="n">
        <v>39</v>
      </c>
      <c r="AQ74" s="50" t="n">
        <v>40</v>
      </c>
      <c r="AR74" s="50" t="n">
        <v>41</v>
      </c>
      <c r="AS74" s="50" t="n">
        <v>42</v>
      </c>
      <c r="AT74" s="50" t="n">
        <v>43</v>
      </c>
      <c r="AU74" s="50" t="n">
        <v>44</v>
      </c>
      <c r="AV74" s="50" t="n">
        <v>45</v>
      </c>
      <c r="AW74" s="50" t="n">
        <v>46</v>
      </c>
      <c r="AX74" s="50" t="n">
        <v>47</v>
      </c>
      <c r="AY74" s="50" t="n">
        <v>48</v>
      </c>
      <c r="AZ74" s="50" t="n">
        <v>49</v>
      </c>
      <c r="BA74" s="50" t="n">
        <v>50</v>
      </c>
      <c r="BB74" s="50" t="n">
        <v>51</v>
      </c>
      <c r="BC74" s="50" t="n">
        <v>52</v>
      </c>
      <c r="BD74" s="50" t="n">
        <v>53</v>
      </c>
      <c r="BE74" s="50" t="n">
        <v>54</v>
      </c>
      <c r="BF74" s="50" t="n">
        <v>55</v>
      </c>
      <c r="BG74" s="50" t="n">
        <v>56</v>
      </c>
      <c r="BH74" s="50" t="n">
        <v>57</v>
      </c>
      <c r="BI74" s="50" t="n">
        <v>58</v>
      </c>
      <c r="BJ74" s="50" t="n">
        <v>59</v>
      </c>
      <c r="BK74" s="50" t="n">
        <v>60</v>
      </c>
    </row>
    <row r="75" customFormat="false" ht="15" hidden="false" customHeight="false" outlineLevel="0" collapsed="false">
      <c r="A75" s="0" t="s">
        <v>181</v>
      </c>
      <c r="D75" s="12" t="n">
        <f aca="false">MIN($C$22,$C$20*(1+$C$21)^(D74-1))</f>
        <v>500</v>
      </c>
      <c r="E75" s="12" t="n">
        <f aca="false">MIN($C$22,$C$20*(1+$C$21)^(E74-1))</f>
        <v>530</v>
      </c>
      <c r="F75" s="12" t="n">
        <f aca="false">MIN($C$22,$C$20*(1+$C$21)^(F74-1))</f>
        <v>561.8</v>
      </c>
      <c r="G75" s="12" t="n">
        <f aca="false">MIN($C$22,$C$20*(1+$C$21)^(G74-1))</f>
        <v>595.508</v>
      </c>
      <c r="H75" s="12" t="n">
        <f aca="false">MIN($C$22,$C$20*(1+$C$21)^(H74-1))</f>
        <v>631.23848</v>
      </c>
      <c r="I75" s="12" t="n">
        <f aca="false">MIN($C$22,$C$20*(1+$C$21)^(I74-1))</f>
        <v>669.1127888</v>
      </c>
      <c r="J75" s="12" t="n">
        <f aca="false">MIN($C$22,$C$20*(1+$C$21)^(J74-1))</f>
        <v>709.259556128</v>
      </c>
      <c r="K75" s="12" t="n">
        <f aca="false">MIN($C$22,$C$20*(1+$C$21)^(K74-1))</f>
        <v>751.81512949568</v>
      </c>
      <c r="L75" s="12" t="n">
        <f aca="false">MIN($C$22,$C$20*(1+$C$21)^(L74-1))</f>
        <v>796.924037265421</v>
      </c>
      <c r="M75" s="12" t="n">
        <f aca="false">MIN($C$22,$C$20*(1+$C$21)^(M74-1))</f>
        <v>844.739479501346</v>
      </c>
      <c r="N75" s="12" t="n">
        <f aca="false">MIN($C$22,$C$20*(1+$C$21)^(N74-1))</f>
        <v>895.423848271427</v>
      </c>
      <c r="O75" s="12" t="n">
        <f aca="false">MIN($C$22,$C$20*(1+$C$21)^(O74-1))</f>
        <v>949.149279167713</v>
      </c>
      <c r="P75" s="12" t="n">
        <f aca="false">MIN($C$22,$C$20*(1+$C$21)^(P74-1))</f>
        <v>1006.09823591778</v>
      </c>
      <c r="Q75" s="12" t="n">
        <f aca="false">MIN($C$22,$C$20*(1+$C$21)^(Q74-1))</f>
        <v>1066.46413007284</v>
      </c>
      <c r="R75" s="12" t="n">
        <f aca="false">MIN($C$22,$C$20*(1+$C$21)^(R74-1))</f>
        <v>1130.45197787721</v>
      </c>
      <c r="S75" s="12" t="n">
        <f aca="false">MIN($C$22,$C$20*(1+$C$21)^(S74-1))</f>
        <v>1198.27909654985</v>
      </c>
      <c r="T75" s="12" t="n">
        <f aca="false">MIN($C$22,$C$20*(1+$C$21)^(T74-1))</f>
        <v>1270.17584234284</v>
      </c>
      <c r="U75" s="12" t="n">
        <f aca="false">MIN($C$22,$C$20*(1+$C$21)^(U74-1))</f>
        <v>1346.38639288341</v>
      </c>
      <c r="V75" s="12" t="n">
        <f aca="false">MIN($C$22,$C$20*(1+$C$21)^(V74-1))</f>
        <v>1427.16957645641</v>
      </c>
      <c r="W75" s="12" t="n">
        <f aca="false">MIN($C$22,$C$20*(1+$C$21)^(W74-1))</f>
        <v>1512.7997510438</v>
      </c>
      <c r="X75" s="12" t="n">
        <f aca="false">MIN($C$22,$C$20*(1+$C$21)^(X74-1))</f>
        <v>1603.56773610642</v>
      </c>
      <c r="Y75" s="12" t="n">
        <f aca="false">MIN($C$22,$C$20*(1+$C$21)^(Y74-1))</f>
        <v>1699.78180027281</v>
      </c>
      <c r="Z75" s="12" t="n">
        <f aca="false">MIN($C$22,$C$20*(1+$C$21)^(Z74-1))</f>
        <v>1801.76870828918</v>
      </c>
      <c r="AA75" s="12" t="n">
        <f aca="false">MIN($C$22,$C$20*(1+$C$21)^(AA74-1))</f>
        <v>1909.87483078653</v>
      </c>
      <c r="AB75" s="12" t="n">
        <f aca="false">MIN($C$22,$C$20*(1+$C$21)^(AB74-1))</f>
        <v>2024.46732063372</v>
      </c>
      <c r="AC75" s="12" t="n">
        <f aca="false">MIN($C$22,$C$20*(1+$C$21)^(AC74-1))</f>
        <v>2145.93535987174</v>
      </c>
      <c r="AD75" s="12" t="n">
        <f aca="false">MIN($C$22,$C$20*(1+$C$21)^(AD74-1))</f>
        <v>2274.69148146405</v>
      </c>
      <c r="AE75" s="12" t="n">
        <f aca="false">MIN($C$22,$C$20*(1+$C$21)^(AE74-1))</f>
        <v>2411.17297035189</v>
      </c>
      <c r="AF75" s="12" t="n">
        <f aca="false">MIN($C$22,$C$20*(1+$C$21)^(AF74-1))</f>
        <v>2555.84334857301</v>
      </c>
      <c r="AG75" s="12" t="n">
        <f aca="false">MIN($C$22,$C$20*(1+$C$21)^(AG74-1))</f>
        <v>2709.19394948739</v>
      </c>
      <c r="AH75" s="12" t="n">
        <f aca="false">MIN($C$22,$C$20*(1+$C$21)^(AH74-1))</f>
        <v>2871.74558645663</v>
      </c>
      <c r="AI75" s="12" t="n">
        <f aca="false">MIN($C$22,$C$20*(1+$C$21)^(AI74-1))</f>
        <v>3044.05032164403</v>
      </c>
      <c r="AJ75" s="12" t="n">
        <f aca="false">MIN($C$22,$C$20*(1+$C$21)^(AJ74-1))</f>
        <v>3226.69334094267</v>
      </c>
      <c r="AK75" s="12" t="n">
        <f aca="false">MIN($C$22,$C$20*(1+$C$21)^(AK74-1))</f>
        <v>3420.29494139923</v>
      </c>
      <c r="AL75" s="12" t="n">
        <f aca="false">MIN($C$22,$C$20*(1+$C$21)^(AL74-1))</f>
        <v>3625.51263788318</v>
      </c>
      <c r="AM75" s="12" t="n">
        <f aca="false">MIN($C$22,$C$20*(1+$C$21)^(AM74-1))</f>
        <v>3843.04339615618</v>
      </c>
      <c r="AN75" s="12" t="n">
        <f aca="false">MIN($C$22,$C$20*(1+$C$21)^(AN74-1))</f>
        <v>4073.62599992555</v>
      </c>
      <c r="AO75" s="12" t="n">
        <f aca="false">MIN($C$22,$C$20*(1+$C$21)^(AO74-1))</f>
        <v>4318.04355992108</v>
      </c>
      <c r="AP75" s="12" t="n">
        <f aca="false">MIN($C$22,$C$20*(1+$C$21)^(AP74-1))</f>
        <v>4577.12617351634</v>
      </c>
      <c r="AQ75" s="12" t="n">
        <f aca="false">MIN($C$22,$C$20*(1+$C$21)^(AQ74-1))</f>
        <v>4851.75374392732</v>
      </c>
      <c r="AR75" s="12" t="n">
        <f aca="false">MIN($C$22,$C$20*(1+$C$21)^(AR74-1))</f>
        <v>5142.85896856296</v>
      </c>
      <c r="AS75" s="12" t="n">
        <f aca="false">MIN($C$22,$C$20*(1+$C$21)^(AS74-1))</f>
        <v>5451.43050667674</v>
      </c>
      <c r="AT75" s="12" t="n">
        <f aca="false">MIN($C$22,$C$20*(1+$C$21)^(AT74-1))</f>
        <v>5778.51633707735</v>
      </c>
      <c r="AU75" s="12" t="n">
        <f aca="false">MIN($C$22,$C$20*(1+$C$21)^(AU74-1))</f>
        <v>6125.22731730199</v>
      </c>
      <c r="AV75" s="12" t="n">
        <f aca="false">MIN($C$22,$C$20*(1+$C$21)^(AV74-1))</f>
        <v>6492.74095634011</v>
      </c>
      <c r="AW75" s="12" t="n">
        <f aca="false">MIN($C$22,$C$20*(1+$C$21)^(AW74-1))</f>
        <v>6882.30541372051</v>
      </c>
      <c r="AX75" s="12" t="n">
        <f aca="false">MIN($C$22,$C$20*(1+$C$21)^(AX74-1))</f>
        <v>7295.24373854375</v>
      </c>
      <c r="AY75" s="12" t="n">
        <f aca="false">MIN($C$22,$C$20*(1+$C$21)^(AY74-1))</f>
        <v>7732.95836285637</v>
      </c>
      <c r="AZ75" s="12" t="n">
        <f aca="false">MIN($C$22,$C$20*(1+$C$21)^(AZ74-1))</f>
        <v>8196.93586462775</v>
      </c>
      <c r="BA75" s="12" t="n">
        <f aca="false">MIN($C$22,$C$20*(1+$C$21)^(BA74-1))</f>
        <v>8688.75201650542</v>
      </c>
      <c r="BB75" s="12" t="n">
        <f aca="false">MIN($C$22,$C$20*(1+$C$21)^(BB74-1))</f>
        <v>9210.07713749574</v>
      </c>
      <c r="BC75" s="12" t="n">
        <f aca="false">MIN($C$22,$C$20*(1+$C$21)^(BC74-1))</f>
        <v>9762.68176574549</v>
      </c>
      <c r="BD75" s="12" t="n">
        <f aca="false">MIN($C$22,$C$20*(1+$C$21)^(BD74-1))</f>
        <v>10348.4426716902</v>
      </c>
      <c r="BE75" s="12" t="n">
        <f aca="false">MIN($C$22,$C$20*(1+$C$21)^(BE74-1))</f>
        <v>10969.3492319916</v>
      </c>
      <c r="BF75" s="12" t="n">
        <f aca="false">MIN($C$22,$C$20*(1+$C$21)^(BF74-1))</f>
        <v>11627.5101859111</v>
      </c>
      <c r="BG75" s="12" t="n">
        <f aca="false">MIN($C$22,$C$20*(1+$C$21)^(BG74-1))</f>
        <v>12325.1607970658</v>
      </c>
      <c r="BH75" s="12" t="n">
        <f aca="false">MIN($C$22,$C$20*(1+$C$21)^(BH74-1))</f>
        <v>13064.6704448897</v>
      </c>
      <c r="BI75" s="12" t="n">
        <f aca="false">MIN($C$22,$C$20*(1+$C$21)^(BI74-1))</f>
        <v>13848.5506715831</v>
      </c>
      <c r="BJ75" s="12" t="n">
        <f aca="false">MIN($C$22,$C$20*(1+$C$21)^(BJ74-1))</f>
        <v>14679.4637118781</v>
      </c>
      <c r="BK75" s="12" t="n">
        <f aca="false">MIN($C$22,$C$20*(1+$C$21)^(BK74-1))</f>
        <v>15560.2315345908</v>
      </c>
    </row>
    <row r="76" customFormat="false" ht="15" hidden="false" customHeight="false" outlineLevel="0" collapsed="false">
      <c r="A76" s="0" t="s">
        <v>182</v>
      </c>
      <c r="D76" s="12" t="n">
        <f aca="false">$C$23/$C$24</f>
        <v>0</v>
      </c>
      <c r="E76" s="12" t="n">
        <f aca="false">$C$23/$C$24</f>
        <v>0</v>
      </c>
      <c r="F76" s="12" t="n">
        <f aca="false">$C$23/$C$24</f>
        <v>0</v>
      </c>
      <c r="G76" s="12" t="n">
        <f aca="false">$C$23/$C$24</f>
        <v>0</v>
      </c>
      <c r="H76" s="12" t="n">
        <f aca="false">$C$23/$C$24</f>
        <v>0</v>
      </c>
      <c r="I76" s="12" t="n">
        <f aca="false">$C$23/$C$24</f>
        <v>0</v>
      </c>
      <c r="J76" s="12" t="n">
        <f aca="false">$C$23/$C$24</f>
        <v>0</v>
      </c>
      <c r="K76" s="12" t="n">
        <f aca="false">$C$23/$C$24</f>
        <v>0</v>
      </c>
      <c r="L76" s="12" t="n">
        <f aca="false">$C$23/$C$24</f>
        <v>0</v>
      </c>
      <c r="M76" s="12" t="n">
        <f aca="false">$C$23/$C$24</f>
        <v>0</v>
      </c>
      <c r="N76" s="12" t="n">
        <f aca="false">$C$23/$C$24</f>
        <v>0</v>
      </c>
      <c r="O76" s="12" t="n">
        <f aca="false">$C$23/$C$24</f>
        <v>0</v>
      </c>
      <c r="P76" s="12" t="n">
        <f aca="false">$C$23/$C$24</f>
        <v>0</v>
      </c>
      <c r="Q76" s="12" t="n">
        <f aca="false">$C$23/$C$24</f>
        <v>0</v>
      </c>
      <c r="R76" s="12" t="n">
        <f aca="false">$C$23/$C$24</f>
        <v>0</v>
      </c>
      <c r="S76" s="12" t="n">
        <f aca="false">$C$23/$C$24</f>
        <v>0</v>
      </c>
      <c r="T76" s="12" t="n">
        <f aca="false">$C$23/$C$24</f>
        <v>0</v>
      </c>
      <c r="U76" s="12" t="n">
        <f aca="false">$C$23/$C$24</f>
        <v>0</v>
      </c>
      <c r="V76" s="12" t="n">
        <f aca="false">$C$23/$C$24</f>
        <v>0</v>
      </c>
      <c r="W76" s="12" t="n">
        <f aca="false">$C$23/$C$24</f>
        <v>0</v>
      </c>
      <c r="X76" s="12" t="n">
        <f aca="false">$C$23/$C$24</f>
        <v>0</v>
      </c>
      <c r="Y76" s="12" t="n">
        <f aca="false">$C$23/$C$24</f>
        <v>0</v>
      </c>
      <c r="Z76" s="12" t="n">
        <f aca="false">$C$23/$C$24</f>
        <v>0</v>
      </c>
      <c r="AA76" s="12" t="n">
        <f aca="false">$C$23/$C$24</f>
        <v>0</v>
      </c>
      <c r="AB76" s="12" t="n">
        <f aca="false">$C$23/$C$24</f>
        <v>0</v>
      </c>
      <c r="AC76" s="12" t="n">
        <f aca="false">$C$23/$C$24</f>
        <v>0</v>
      </c>
      <c r="AD76" s="12" t="n">
        <f aca="false">$C$23/$C$24</f>
        <v>0</v>
      </c>
      <c r="AE76" s="12" t="n">
        <f aca="false">$C$23/$C$24</f>
        <v>0</v>
      </c>
      <c r="AF76" s="12" t="n">
        <f aca="false">$C$23/$C$24</f>
        <v>0</v>
      </c>
      <c r="AG76" s="12" t="n">
        <f aca="false">$C$23/$C$24</f>
        <v>0</v>
      </c>
      <c r="AH76" s="12" t="n">
        <f aca="false">$C$23/$C$24</f>
        <v>0</v>
      </c>
      <c r="AI76" s="12" t="n">
        <f aca="false">$C$23/$C$24</f>
        <v>0</v>
      </c>
      <c r="AJ76" s="12" t="n">
        <f aca="false">$C$23/$C$24</f>
        <v>0</v>
      </c>
      <c r="AK76" s="12" t="n">
        <f aca="false">$C$23/$C$24</f>
        <v>0</v>
      </c>
      <c r="AL76" s="12" t="n">
        <f aca="false">$C$23/$C$24</f>
        <v>0</v>
      </c>
      <c r="AM76" s="12" t="n">
        <f aca="false">$C$23/$C$24</f>
        <v>0</v>
      </c>
      <c r="AN76" s="12" t="n">
        <f aca="false">$C$23/$C$24</f>
        <v>0</v>
      </c>
      <c r="AO76" s="12" t="n">
        <f aca="false">$C$23/$C$24</f>
        <v>0</v>
      </c>
      <c r="AP76" s="12" t="n">
        <f aca="false">$C$23/$C$24</f>
        <v>0</v>
      </c>
      <c r="AQ76" s="12" t="n">
        <f aca="false">$C$23/$C$24</f>
        <v>0</v>
      </c>
      <c r="AR76" s="12" t="n">
        <f aca="false">$C$23/$C$24</f>
        <v>0</v>
      </c>
      <c r="AS76" s="12" t="n">
        <f aca="false">$C$23/$C$24</f>
        <v>0</v>
      </c>
      <c r="AT76" s="12" t="n">
        <f aca="false">$C$23/$C$24</f>
        <v>0</v>
      </c>
      <c r="AU76" s="12" t="n">
        <f aca="false">$C$23/$C$24</f>
        <v>0</v>
      </c>
      <c r="AV76" s="12" t="n">
        <f aca="false">$C$23/$C$24</f>
        <v>0</v>
      </c>
      <c r="AW76" s="12" t="n">
        <f aca="false">$C$23/$C$24</f>
        <v>0</v>
      </c>
      <c r="AX76" s="12" t="n">
        <f aca="false">$C$23/$C$24</f>
        <v>0</v>
      </c>
      <c r="AY76" s="12" t="n">
        <f aca="false">$C$23/$C$24</f>
        <v>0</v>
      </c>
      <c r="AZ76" s="12" t="n">
        <f aca="false">$C$23/$C$24</f>
        <v>0</v>
      </c>
      <c r="BA76" s="12" t="n">
        <f aca="false">$C$23/$C$24</f>
        <v>0</v>
      </c>
      <c r="BB76" s="12" t="n">
        <f aca="false">$C$23/$C$24</f>
        <v>0</v>
      </c>
      <c r="BC76" s="12" t="n">
        <f aca="false">$C$23/$C$24</f>
        <v>0</v>
      </c>
      <c r="BD76" s="12" t="n">
        <f aca="false">$C$23/$C$24</f>
        <v>0</v>
      </c>
      <c r="BE76" s="12" t="n">
        <f aca="false">$C$23/$C$24</f>
        <v>0</v>
      </c>
      <c r="BF76" s="12" t="n">
        <f aca="false">$C$23/$C$24</f>
        <v>0</v>
      </c>
      <c r="BG76" s="12" t="n">
        <f aca="false">$C$23/$C$24</f>
        <v>0</v>
      </c>
      <c r="BH76" s="12" t="n">
        <f aca="false">$C$23/$C$24</f>
        <v>0</v>
      </c>
      <c r="BI76" s="12" t="n">
        <f aca="false">$C$23/$C$24</f>
        <v>0</v>
      </c>
      <c r="BJ76" s="12" t="n">
        <f aca="false">$C$23/$C$24</f>
        <v>0</v>
      </c>
      <c r="BK76" s="12" t="n">
        <f aca="false">$C$23/$C$24</f>
        <v>0</v>
      </c>
    </row>
    <row r="77" customFormat="false" ht="15" hidden="false" customHeight="false" outlineLevel="0" collapsed="false">
      <c r="A77" s="0" t="s">
        <v>183</v>
      </c>
      <c r="D77" s="8" t="n">
        <f aca="false">C81*$C$31*$C$32</f>
        <v>0</v>
      </c>
      <c r="E77" s="8" t="n">
        <f aca="false">D81*$C$31*$C$32</f>
        <v>0</v>
      </c>
      <c r="F77" s="8" t="n">
        <f aca="false">E81*$C$31*$C$32</f>
        <v>0</v>
      </c>
      <c r="G77" s="8" t="n">
        <f aca="false">F81*$C$31*$C$32</f>
        <v>0</v>
      </c>
      <c r="H77" s="8" t="n">
        <f aca="false">G81*$C$31*$C$32</f>
        <v>0</v>
      </c>
      <c r="I77" s="8" t="n">
        <f aca="false">H81*$C$31*$C$32</f>
        <v>0</v>
      </c>
      <c r="J77" s="8" t="n">
        <f aca="false">I81*$C$31*$C$32</f>
        <v>0</v>
      </c>
      <c r="K77" s="8" t="n">
        <f aca="false">J81*$C$31*$C$32</f>
        <v>0</v>
      </c>
      <c r="L77" s="8" t="n">
        <f aca="false">K81*$C$31*$C$32</f>
        <v>0</v>
      </c>
      <c r="M77" s="8" t="n">
        <f aca="false">L81*$C$31*$C$32</f>
        <v>0</v>
      </c>
      <c r="N77" s="8" t="n">
        <f aca="false">M81*$C$31*$C$32</f>
        <v>0</v>
      </c>
      <c r="O77" s="8" t="n">
        <f aca="false">N81*$C$31*$C$32</f>
        <v>0</v>
      </c>
      <c r="P77" s="8" t="n">
        <f aca="false">O81*$C$31*$C$32</f>
        <v>0</v>
      </c>
      <c r="Q77" s="8" t="n">
        <f aca="false">P81*$C$31*$C$32</f>
        <v>0</v>
      </c>
      <c r="R77" s="8" t="n">
        <f aca="false">Q81*$C$31*$C$32</f>
        <v>0</v>
      </c>
      <c r="S77" s="8" t="n">
        <f aca="false">R81*$C$31*$C$32</f>
        <v>0</v>
      </c>
      <c r="T77" s="8" t="n">
        <f aca="false">S81*$C$31*$C$32</f>
        <v>0</v>
      </c>
      <c r="U77" s="8" t="n">
        <f aca="false">T81*$C$31*$C$32</f>
        <v>0</v>
      </c>
      <c r="V77" s="8" t="n">
        <f aca="false">U81*$C$31*$C$32</f>
        <v>0</v>
      </c>
      <c r="W77" s="8" t="n">
        <f aca="false">V81*$C$31*$C$32</f>
        <v>0</v>
      </c>
      <c r="X77" s="8" t="n">
        <f aca="false">W81*$C$31*$C$32</f>
        <v>0</v>
      </c>
      <c r="Y77" s="8" t="n">
        <f aca="false">X81*$C$31*$C$32</f>
        <v>0</v>
      </c>
      <c r="Z77" s="8" t="n">
        <f aca="false">Y81*$C$31*$C$32</f>
        <v>0</v>
      </c>
      <c r="AA77" s="8" t="n">
        <f aca="false">Z81*$C$31*$C$32</f>
        <v>0</v>
      </c>
      <c r="AB77" s="8" t="n">
        <f aca="false">AA81*$C$31*$C$32</f>
        <v>0</v>
      </c>
      <c r="AC77" s="8" t="n">
        <f aca="false">AB81*$C$31*$C$32</f>
        <v>0</v>
      </c>
      <c r="AD77" s="8" t="n">
        <f aca="false">AC81*$C$31*$C$32</f>
        <v>0</v>
      </c>
      <c r="AE77" s="8" t="n">
        <f aca="false">AD81*$C$31*$C$32</f>
        <v>0</v>
      </c>
      <c r="AF77" s="8" t="n">
        <f aca="false">AE81*$C$31*$C$32</f>
        <v>0</v>
      </c>
      <c r="AG77" s="8" t="n">
        <f aca="false">AF81*$C$31*$C$32</f>
        <v>0</v>
      </c>
      <c r="AH77" s="8" t="n">
        <f aca="false">AG81*$C$31*$C$32</f>
        <v>0</v>
      </c>
      <c r="AI77" s="8" t="n">
        <f aca="false">AH81*$C$31*$C$32</f>
        <v>0</v>
      </c>
      <c r="AJ77" s="8" t="n">
        <f aca="false">AI81*$C$31*$C$32</f>
        <v>0</v>
      </c>
      <c r="AK77" s="8" t="n">
        <f aca="false">AJ81*$C$31*$C$32</f>
        <v>0</v>
      </c>
      <c r="AL77" s="8" t="n">
        <f aca="false">AK81*$C$31*$C$32</f>
        <v>0</v>
      </c>
      <c r="AM77" s="8" t="n">
        <f aca="false">AL81*$C$31*$C$32</f>
        <v>0</v>
      </c>
      <c r="AN77" s="8" t="n">
        <f aca="false">AM81*$C$31*$C$32</f>
        <v>0</v>
      </c>
      <c r="AO77" s="8" t="n">
        <f aca="false">AN81*$C$31*$C$32</f>
        <v>0</v>
      </c>
      <c r="AP77" s="8" t="n">
        <f aca="false">AO81*$C$31*$C$32</f>
        <v>0</v>
      </c>
      <c r="AQ77" s="8" t="n">
        <f aca="false">AP81*$C$31*$C$32</f>
        <v>0</v>
      </c>
      <c r="AR77" s="8" t="n">
        <f aca="false">AQ81*$C$31*$C$32</f>
        <v>0</v>
      </c>
      <c r="AS77" s="8" t="n">
        <f aca="false">AR81*$C$31*$C$32</f>
        <v>0</v>
      </c>
      <c r="AT77" s="8" t="n">
        <f aca="false">AS81*$C$31*$C$32</f>
        <v>0</v>
      </c>
      <c r="AU77" s="8" t="n">
        <f aca="false">AT81*$C$31*$C$32</f>
        <v>0</v>
      </c>
      <c r="AV77" s="8" t="n">
        <f aca="false">AU81*$C$31*$C$32</f>
        <v>0</v>
      </c>
      <c r="AW77" s="8" t="n">
        <f aca="false">AV81*$C$31*$C$32</f>
        <v>0</v>
      </c>
      <c r="AX77" s="8" t="n">
        <f aca="false">AW81*$C$31*$C$32</f>
        <v>0</v>
      </c>
      <c r="AY77" s="8" t="n">
        <f aca="false">AX81*$C$31*$C$32</f>
        <v>0</v>
      </c>
      <c r="AZ77" s="8" t="n">
        <f aca="false">AY81*$C$31*$C$32</f>
        <v>0</v>
      </c>
      <c r="BA77" s="8" t="n">
        <f aca="false">AZ81*$C$31*$C$32</f>
        <v>0</v>
      </c>
      <c r="BB77" s="8" t="n">
        <f aca="false">BA81*$C$31*$C$32</f>
        <v>0</v>
      </c>
      <c r="BC77" s="8" t="n">
        <f aca="false">BB81*$C$31*$C$32</f>
        <v>0</v>
      </c>
      <c r="BD77" s="8" t="n">
        <f aca="false">BC81*$C$31*$C$32</f>
        <v>0</v>
      </c>
      <c r="BE77" s="8" t="n">
        <f aca="false">BD81*$C$31*$C$32</f>
        <v>0</v>
      </c>
      <c r="BF77" s="8" t="n">
        <f aca="false">BE81*$C$31*$C$32</f>
        <v>0</v>
      </c>
      <c r="BG77" s="8" t="n">
        <f aca="false">BF81*$C$31*$C$32</f>
        <v>0</v>
      </c>
      <c r="BH77" s="8" t="n">
        <f aca="false">BG81*$C$31*$C$32</f>
        <v>0</v>
      </c>
      <c r="BI77" s="8" t="n">
        <f aca="false">BH81*$C$31*$C$32</f>
        <v>0</v>
      </c>
      <c r="BJ77" s="8" t="n">
        <f aca="false">BI81*$C$31*$C$32</f>
        <v>0</v>
      </c>
      <c r="BK77" s="8" t="n">
        <f aca="false">BJ81*$C$31*$C$32</f>
        <v>0</v>
      </c>
    </row>
    <row r="78" customFormat="false" ht="15" hidden="false" customHeight="false" outlineLevel="0" collapsed="false">
      <c r="A78" s="0" t="s">
        <v>184</v>
      </c>
      <c r="D78" s="12" t="n">
        <f aca="false">D75+D76</f>
        <v>500</v>
      </c>
      <c r="E78" s="12" t="n">
        <f aca="false">E75+E76</f>
        <v>530</v>
      </c>
      <c r="F78" s="12" t="n">
        <f aca="false">F75+F76</f>
        <v>561.8</v>
      </c>
      <c r="G78" s="12" t="n">
        <f aca="false">G75+G76</f>
        <v>595.508</v>
      </c>
      <c r="H78" s="12" t="n">
        <f aca="false">H75+H76</f>
        <v>631.23848</v>
      </c>
      <c r="I78" s="12" t="n">
        <f aca="false">I75+I76</f>
        <v>669.1127888</v>
      </c>
      <c r="J78" s="12" t="n">
        <f aca="false">J75+J76</f>
        <v>709.259556128</v>
      </c>
      <c r="K78" s="12" t="n">
        <f aca="false">K75+K76</f>
        <v>751.81512949568</v>
      </c>
      <c r="L78" s="12" t="n">
        <f aca="false">L75+L76</f>
        <v>796.924037265421</v>
      </c>
      <c r="M78" s="12" t="n">
        <f aca="false">M75+M76</f>
        <v>844.739479501346</v>
      </c>
      <c r="N78" s="12" t="n">
        <f aca="false">N75+N76</f>
        <v>895.423848271427</v>
      </c>
      <c r="O78" s="12" t="n">
        <f aca="false">O75+O76</f>
        <v>949.149279167713</v>
      </c>
      <c r="P78" s="12" t="n">
        <f aca="false">P75+P76</f>
        <v>1006.09823591778</v>
      </c>
      <c r="Q78" s="12" t="n">
        <f aca="false">Q75+Q76</f>
        <v>1066.46413007284</v>
      </c>
      <c r="R78" s="12" t="n">
        <f aca="false">R75+R76</f>
        <v>1130.45197787721</v>
      </c>
      <c r="S78" s="12" t="n">
        <f aca="false">S75+S76</f>
        <v>1198.27909654985</v>
      </c>
      <c r="T78" s="12" t="n">
        <f aca="false">T75+T76</f>
        <v>1270.17584234284</v>
      </c>
      <c r="U78" s="12" t="n">
        <f aca="false">U75+U76</f>
        <v>1346.38639288341</v>
      </c>
      <c r="V78" s="12" t="n">
        <f aca="false">V75+V76</f>
        <v>1427.16957645641</v>
      </c>
      <c r="W78" s="12" t="n">
        <f aca="false">W75+W76</f>
        <v>1512.7997510438</v>
      </c>
      <c r="X78" s="12" t="n">
        <f aca="false">X75+X76</f>
        <v>1603.56773610642</v>
      </c>
      <c r="Y78" s="12" t="n">
        <f aca="false">Y75+Y76</f>
        <v>1699.78180027281</v>
      </c>
      <c r="Z78" s="12" t="n">
        <f aca="false">Z75+Z76</f>
        <v>1801.76870828918</v>
      </c>
      <c r="AA78" s="12" t="n">
        <f aca="false">AA75+AA76</f>
        <v>1909.87483078653</v>
      </c>
      <c r="AB78" s="12" t="n">
        <f aca="false">AB75+AB76</f>
        <v>2024.46732063372</v>
      </c>
      <c r="AC78" s="12" t="n">
        <f aca="false">AC75+AC76</f>
        <v>2145.93535987174</v>
      </c>
      <c r="AD78" s="12" t="n">
        <f aca="false">AD75+AD76</f>
        <v>2274.69148146405</v>
      </c>
      <c r="AE78" s="12" t="n">
        <f aca="false">AE75+AE76</f>
        <v>2411.17297035189</v>
      </c>
      <c r="AF78" s="12" t="n">
        <f aca="false">AF75+AF76</f>
        <v>2555.84334857301</v>
      </c>
      <c r="AG78" s="12" t="n">
        <f aca="false">AG75+AG76</f>
        <v>2709.19394948739</v>
      </c>
      <c r="AH78" s="12" t="n">
        <f aca="false">AH75+AH76</f>
        <v>2871.74558645663</v>
      </c>
      <c r="AI78" s="12" t="n">
        <f aca="false">AI75+AI76</f>
        <v>3044.05032164403</v>
      </c>
      <c r="AJ78" s="12" t="n">
        <f aca="false">AJ75+AJ76</f>
        <v>3226.69334094267</v>
      </c>
      <c r="AK78" s="12" t="n">
        <f aca="false">AK75+AK76</f>
        <v>3420.29494139923</v>
      </c>
      <c r="AL78" s="12" t="n">
        <f aca="false">AL75+AL76</f>
        <v>3625.51263788318</v>
      </c>
      <c r="AM78" s="12" t="n">
        <f aca="false">AM75+AM76</f>
        <v>3843.04339615618</v>
      </c>
      <c r="AN78" s="12" t="n">
        <f aca="false">AN75+AN76</f>
        <v>4073.62599992555</v>
      </c>
      <c r="AO78" s="12" t="n">
        <f aca="false">AO75+AO76</f>
        <v>4318.04355992108</v>
      </c>
      <c r="AP78" s="12" t="n">
        <f aca="false">AP75+AP76</f>
        <v>4577.12617351634</v>
      </c>
      <c r="AQ78" s="12" t="n">
        <f aca="false">AQ75+AQ76</f>
        <v>4851.75374392732</v>
      </c>
      <c r="AR78" s="12" t="n">
        <f aca="false">AR75+AR76</f>
        <v>5142.85896856296</v>
      </c>
      <c r="AS78" s="12" t="n">
        <f aca="false">AS75+AS76</f>
        <v>5451.43050667674</v>
      </c>
      <c r="AT78" s="12" t="n">
        <f aca="false">AT75+AT76</f>
        <v>5778.51633707735</v>
      </c>
      <c r="AU78" s="12" t="n">
        <f aca="false">AU75+AU76</f>
        <v>6125.22731730199</v>
      </c>
      <c r="AV78" s="12" t="n">
        <f aca="false">AV75+AV76</f>
        <v>6492.74095634011</v>
      </c>
      <c r="AW78" s="12" t="n">
        <f aca="false">AW75+AW76</f>
        <v>6882.30541372051</v>
      </c>
      <c r="AX78" s="12" t="n">
        <f aca="false">AX75+AX76</f>
        <v>7295.24373854375</v>
      </c>
      <c r="AY78" s="12" t="n">
        <f aca="false">AY75+AY76</f>
        <v>7732.95836285637</v>
      </c>
      <c r="AZ78" s="12" t="n">
        <f aca="false">AZ75+AZ76</f>
        <v>8196.93586462775</v>
      </c>
      <c r="BA78" s="12" t="n">
        <f aca="false">BA75+BA76</f>
        <v>8688.75201650542</v>
      </c>
      <c r="BB78" s="12" t="n">
        <f aca="false">BB75+BB76</f>
        <v>9210.07713749574</v>
      </c>
      <c r="BC78" s="12" t="n">
        <f aca="false">BC75+BC76</f>
        <v>9762.68176574549</v>
      </c>
      <c r="BD78" s="12" t="n">
        <f aca="false">BD75+BD76</f>
        <v>10348.4426716902</v>
      </c>
      <c r="BE78" s="12" t="n">
        <f aca="false">BE75+BE76</f>
        <v>10969.3492319916</v>
      </c>
      <c r="BF78" s="12" t="n">
        <f aca="false">BF75+BF76</f>
        <v>11627.5101859111</v>
      </c>
      <c r="BG78" s="12" t="n">
        <f aca="false">BG75+BG76</f>
        <v>12325.1607970658</v>
      </c>
      <c r="BH78" s="12" t="n">
        <f aca="false">BH75+BH76</f>
        <v>13064.6704448897</v>
      </c>
      <c r="BI78" s="12" t="n">
        <f aca="false">BI75+BI76</f>
        <v>13848.5506715831</v>
      </c>
      <c r="BJ78" s="12" t="n">
        <f aca="false">BJ75+BJ76</f>
        <v>14679.4637118781</v>
      </c>
      <c r="BK78" s="12" t="n">
        <f aca="false">BK75+BK76</f>
        <v>15560.2315345908</v>
      </c>
    </row>
    <row r="79" customFormat="false" ht="15" hidden="false" customHeight="false" outlineLevel="0" collapsed="false">
      <c r="A79" s="0" t="s">
        <v>185</v>
      </c>
      <c r="D79" s="8" t="n">
        <f aca="false">D78*$C$25+D77</f>
        <v>7.5</v>
      </c>
      <c r="E79" s="8" t="n">
        <f aca="false">E78*$C$25+E77</f>
        <v>7.95</v>
      </c>
      <c r="F79" s="8" t="n">
        <f aca="false">F78*$C$25+F77</f>
        <v>8.427</v>
      </c>
      <c r="G79" s="8" t="n">
        <f aca="false">G78*$C$25+G77</f>
        <v>8.93262</v>
      </c>
      <c r="H79" s="8" t="n">
        <f aca="false">H78*$C$25+H77</f>
        <v>9.4685772</v>
      </c>
      <c r="I79" s="8" t="n">
        <f aca="false">I78*$C$25+I77</f>
        <v>10.036691832</v>
      </c>
      <c r="J79" s="8" t="n">
        <f aca="false">J78*$C$25+J77</f>
        <v>10.63889334192</v>
      </c>
      <c r="K79" s="8" t="n">
        <f aca="false">K78*$C$25+K77</f>
        <v>11.2772269424352</v>
      </c>
      <c r="L79" s="8" t="n">
        <f aca="false">L78*$C$25+L77</f>
        <v>11.9538605589813</v>
      </c>
      <c r="M79" s="8" t="n">
        <f aca="false">M78*$C$25+M77</f>
        <v>12.6710921925202</v>
      </c>
      <c r="N79" s="8" t="n">
        <f aca="false">N78*$C$25+N77</f>
        <v>13.4313577240714</v>
      </c>
      <c r="O79" s="8" t="n">
        <f aca="false">O78*$C$25+O77</f>
        <v>14.2372391875157</v>
      </c>
      <c r="P79" s="8" t="n">
        <f aca="false">P78*$C$25+P77</f>
        <v>15.0914735387666</v>
      </c>
      <c r="Q79" s="8" t="n">
        <f aca="false">Q78*$C$25+Q77</f>
        <v>15.9969619510926</v>
      </c>
      <c r="R79" s="8" t="n">
        <f aca="false">R78*$C$25+R77</f>
        <v>16.9567796681582</v>
      </c>
      <c r="S79" s="8" t="n">
        <f aca="false">S78*$C$25+S77</f>
        <v>17.9741864482477</v>
      </c>
      <c r="T79" s="8" t="n">
        <f aca="false">T78*$C$25+T77</f>
        <v>19.0526376351426</v>
      </c>
      <c r="U79" s="8" t="n">
        <f aca="false">U78*$C$25+U77</f>
        <v>20.1957958932511</v>
      </c>
      <c r="V79" s="8" t="n">
        <f aca="false">V78*$C$25+V77</f>
        <v>21.4075436468462</v>
      </c>
      <c r="W79" s="8" t="n">
        <f aca="false">W78*$C$25+W77</f>
        <v>22.6919962656569</v>
      </c>
      <c r="X79" s="8" t="n">
        <f aca="false">X78*$C$25+X77</f>
        <v>24.0535160415964</v>
      </c>
      <c r="Y79" s="8" t="n">
        <f aca="false">Y78*$C$25+Y77</f>
        <v>25.4967270040921</v>
      </c>
      <c r="Z79" s="8" t="n">
        <f aca="false">Z78*$C$25+Z77</f>
        <v>27.0265306243377</v>
      </c>
      <c r="AA79" s="8" t="n">
        <f aca="false">AA78*$C$25+AA77</f>
        <v>28.6481224617979</v>
      </c>
      <c r="AB79" s="8" t="n">
        <f aca="false">AB78*$C$25+AB77</f>
        <v>30.3670098095058</v>
      </c>
      <c r="AC79" s="8" t="n">
        <f aca="false">AC78*$C$25+AC77</f>
        <v>32.1890303980762</v>
      </c>
      <c r="AD79" s="8" t="n">
        <f aca="false">AD78*$C$25+AD77</f>
        <v>34.1203722219607</v>
      </c>
      <c r="AE79" s="8" t="n">
        <f aca="false">AE78*$C$25+AE77</f>
        <v>36.1675945552784</v>
      </c>
      <c r="AF79" s="8" t="n">
        <f aca="false">AF78*$C$25+AF77</f>
        <v>38.3376502285951</v>
      </c>
      <c r="AG79" s="8" t="n">
        <f aca="false">AG78*$C$25+AG77</f>
        <v>40.6379092423108</v>
      </c>
      <c r="AH79" s="8" t="n">
        <f aca="false">AH78*$C$25+AH77</f>
        <v>43.0761837968494</v>
      </c>
      <c r="AI79" s="8" t="n">
        <f aca="false">AI78*$C$25+AI77</f>
        <v>45.6607548246604</v>
      </c>
      <c r="AJ79" s="8" t="n">
        <f aca="false">AJ78*$C$25+AJ77</f>
        <v>48.40040011414</v>
      </c>
      <c r="AK79" s="8" t="n">
        <f aca="false">AK78*$C$25+AK77</f>
        <v>51.3044241209884</v>
      </c>
      <c r="AL79" s="8" t="n">
        <f aca="false">AL78*$C$25+AL77</f>
        <v>54.3826895682478</v>
      </c>
      <c r="AM79" s="8" t="n">
        <f aca="false">AM78*$C$25+AM77</f>
        <v>57.6456509423426</v>
      </c>
      <c r="AN79" s="8" t="n">
        <f aca="false">AN78*$C$25+AN77</f>
        <v>61.1043899988832</v>
      </c>
      <c r="AO79" s="8" t="n">
        <f aca="false">AO78*$C$25+AO77</f>
        <v>64.7706533988162</v>
      </c>
      <c r="AP79" s="8" t="n">
        <f aca="false">AP78*$C$25+AP77</f>
        <v>68.6568926027452</v>
      </c>
      <c r="AQ79" s="8" t="n">
        <f aca="false">AQ78*$C$25+AQ77</f>
        <v>72.7763061589099</v>
      </c>
      <c r="AR79" s="8" t="n">
        <f aca="false">AR78*$C$25+AR77</f>
        <v>77.1428845284444</v>
      </c>
      <c r="AS79" s="8" t="n">
        <f aca="false">AS78*$C$25+AS77</f>
        <v>81.7714576001511</v>
      </c>
      <c r="AT79" s="8" t="n">
        <f aca="false">AT78*$C$25+AT77</f>
        <v>86.6777450561602</v>
      </c>
      <c r="AU79" s="8" t="n">
        <f aca="false">AU78*$C$25+AU77</f>
        <v>91.8784097595298</v>
      </c>
      <c r="AV79" s="8" t="n">
        <f aca="false">AV78*$C$25+AV77</f>
        <v>97.3911143451016</v>
      </c>
      <c r="AW79" s="8" t="n">
        <f aca="false">AW78*$C$25+AW77</f>
        <v>103.234581205808</v>
      </c>
      <c r="AX79" s="8" t="n">
        <f aca="false">AX78*$C$25+AX77</f>
        <v>109.428656078156</v>
      </c>
      <c r="AY79" s="8" t="n">
        <f aca="false">AY78*$C$25+AY77</f>
        <v>115.994375442846</v>
      </c>
      <c r="AZ79" s="8" t="n">
        <f aca="false">AZ78*$C$25+AZ77</f>
        <v>122.954037969416</v>
      </c>
      <c r="BA79" s="8" t="n">
        <f aca="false">BA78*$C$25+BA77</f>
        <v>130.331280247581</v>
      </c>
      <c r="BB79" s="8" t="n">
        <f aca="false">BB78*$C$25+BB77</f>
        <v>138.151157062436</v>
      </c>
      <c r="BC79" s="8" t="n">
        <f aca="false">BC78*$C$25+BC77</f>
        <v>146.440226486182</v>
      </c>
      <c r="BD79" s="8" t="n">
        <f aca="false">BD78*$C$25+BD77</f>
        <v>155.226640075353</v>
      </c>
      <c r="BE79" s="8" t="n">
        <f aca="false">BE78*$C$25+BE77</f>
        <v>164.540238479875</v>
      </c>
      <c r="BF79" s="8" t="n">
        <f aca="false">BF78*$C$25+BF77</f>
        <v>174.412652788667</v>
      </c>
      <c r="BG79" s="8" t="n">
        <f aca="false">BG78*$C$25+BG77</f>
        <v>184.877411955987</v>
      </c>
      <c r="BH79" s="8" t="n">
        <f aca="false">BH78*$C$25+BH77</f>
        <v>195.970056673346</v>
      </c>
      <c r="BI79" s="8" t="n">
        <f aca="false">BI78*$C$25+BI77</f>
        <v>207.728260073747</v>
      </c>
      <c r="BJ79" s="8" t="n">
        <f aca="false">BJ78*$C$25+BJ77</f>
        <v>220.191955678172</v>
      </c>
      <c r="BK79" s="8" t="n">
        <f aca="false">BK78*$C$25+BK77</f>
        <v>233.403473018862</v>
      </c>
    </row>
    <row r="80" customFormat="false" ht="15" hidden="false" customHeight="false" outlineLevel="0" collapsed="false">
      <c r="A80" s="0" t="s">
        <v>186</v>
      </c>
      <c r="D80" s="8" t="n">
        <f aca="false">D79*$C$26</f>
        <v>2.625</v>
      </c>
      <c r="E80" s="8" t="n">
        <f aca="false">E79*$C$26</f>
        <v>2.7825</v>
      </c>
      <c r="F80" s="8" t="n">
        <f aca="false">F79*$C$26</f>
        <v>2.94945</v>
      </c>
      <c r="G80" s="8" t="n">
        <f aca="false">G79*$C$26</f>
        <v>3.126417</v>
      </c>
      <c r="H80" s="8" t="n">
        <f aca="false">H79*$C$26</f>
        <v>3.31400202</v>
      </c>
      <c r="I80" s="8" t="n">
        <f aca="false">I79*$C$26</f>
        <v>3.5128421412</v>
      </c>
      <c r="J80" s="8" t="n">
        <f aca="false">J79*$C$26</f>
        <v>3.723612669672</v>
      </c>
      <c r="K80" s="8" t="n">
        <f aca="false">K79*$C$26</f>
        <v>3.94702942985232</v>
      </c>
      <c r="L80" s="8" t="n">
        <f aca="false">L79*$C$26</f>
        <v>4.18385119564346</v>
      </c>
      <c r="M80" s="8" t="n">
        <f aca="false">M79*$C$26</f>
        <v>4.43488226738207</v>
      </c>
      <c r="N80" s="8" t="n">
        <f aca="false">N79*$C$26</f>
        <v>4.70097520342499</v>
      </c>
      <c r="O80" s="8" t="n">
        <f aca="false">O79*$C$26</f>
        <v>4.98303371563049</v>
      </c>
      <c r="P80" s="8" t="n">
        <f aca="false">P79*$C$26</f>
        <v>5.28201573856832</v>
      </c>
      <c r="Q80" s="8" t="n">
        <f aca="false">Q79*$C$26</f>
        <v>5.59893668288242</v>
      </c>
      <c r="R80" s="8" t="n">
        <f aca="false">R79*$C$26</f>
        <v>5.93487288385537</v>
      </c>
      <c r="S80" s="8" t="n">
        <f aca="false">S79*$C$26</f>
        <v>6.29096525688669</v>
      </c>
      <c r="T80" s="8" t="n">
        <f aca="false">T79*$C$26</f>
        <v>6.66842317229989</v>
      </c>
      <c r="U80" s="8" t="n">
        <f aca="false">U79*$C$26</f>
        <v>7.06852856263789</v>
      </c>
      <c r="V80" s="8" t="n">
        <f aca="false">V79*$C$26</f>
        <v>7.49264027639616</v>
      </c>
      <c r="W80" s="8" t="n">
        <f aca="false">W79*$C$26</f>
        <v>7.94219869297993</v>
      </c>
      <c r="X80" s="8" t="n">
        <f aca="false">X79*$C$26</f>
        <v>8.41873061455873</v>
      </c>
      <c r="Y80" s="8" t="n">
        <f aca="false">Y79*$C$26</f>
        <v>8.92385445143225</v>
      </c>
      <c r="Z80" s="8" t="n">
        <f aca="false">Z79*$C$26</f>
        <v>9.45928571851819</v>
      </c>
      <c r="AA80" s="8" t="n">
        <f aca="false">AA79*$C$26</f>
        <v>10.0268428616293</v>
      </c>
      <c r="AB80" s="8" t="n">
        <f aca="false">AB79*$C$26</f>
        <v>10.628453433327</v>
      </c>
      <c r="AC80" s="8" t="n">
        <f aca="false">AC79*$C$26</f>
        <v>11.2661606393267</v>
      </c>
      <c r="AD80" s="8" t="n">
        <f aca="false">AD79*$C$26</f>
        <v>11.9421302776863</v>
      </c>
      <c r="AE80" s="8" t="n">
        <f aca="false">AE79*$C$26</f>
        <v>12.6586580943474</v>
      </c>
      <c r="AF80" s="8" t="n">
        <f aca="false">AF79*$C$26</f>
        <v>13.4181775800083</v>
      </c>
      <c r="AG80" s="8" t="n">
        <f aca="false">AG79*$C$26</f>
        <v>14.2232682348088</v>
      </c>
      <c r="AH80" s="8" t="n">
        <f aca="false">AH79*$C$26</f>
        <v>15.0766643288973</v>
      </c>
      <c r="AI80" s="8" t="n">
        <f aca="false">AI79*$C$26</f>
        <v>15.9812641886311</v>
      </c>
      <c r="AJ80" s="8" t="n">
        <f aca="false">AJ79*$C$26</f>
        <v>16.940140039949</v>
      </c>
      <c r="AK80" s="8" t="n">
        <f aca="false">AK79*$C$26</f>
        <v>17.956548442346</v>
      </c>
      <c r="AL80" s="8" t="n">
        <f aca="false">AL79*$C$26</f>
        <v>19.0339413488867</v>
      </c>
      <c r="AM80" s="8" t="n">
        <f aca="false">AM79*$C$26</f>
        <v>20.1759778298199</v>
      </c>
      <c r="AN80" s="8" t="n">
        <f aca="false">AN79*$C$26</f>
        <v>21.3865364996091</v>
      </c>
      <c r="AO80" s="8" t="n">
        <f aca="false">AO79*$C$26</f>
        <v>22.6697286895857</v>
      </c>
      <c r="AP80" s="8" t="n">
        <f aca="false">AP79*$C$26</f>
        <v>24.0299124109608</v>
      </c>
      <c r="AQ80" s="8" t="n">
        <f aca="false">AQ79*$C$26</f>
        <v>25.4717071556184</v>
      </c>
      <c r="AR80" s="8" t="n">
        <f aca="false">AR79*$C$26</f>
        <v>27.0000095849556</v>
      </c>
      <c r="AS80" s="8" t="n">
        <f aca="false">AS79*$C$26</f>
        <v>28.6200101600529</v>
      </c>
      <c r="AT80" s="8" t="n">
        <f aca="false">AT79*$C$26</f>
        <v>30.3372107696561</v>
      </c>
      <c r="AU80" s="8" t="n">
        <f aca="false">AU79*$C$26</f>
        <v>32.1574434158354</v>
      </c>
      <c r="AV80" s="8" t="n">
        <f aca="false">AV79*$C$26</f>
        <v>34.0868900207856</v>
      </c>
      <c r="AW80" s="8" t="n">
        <f aca="false">AW79*$C$26</f>
        <v>36.1321034220327</v>
      </c>
      <c r="AX80" s="8" t="n">
        <f aca="false">AX79*$C$26</f>
        <v>38.3000296273547</v>
      </c>
      <c r="AY80" s="8" t="n">
        <f aca="false">AY79*$C$26</f>
        <v>40.5980314049959</v>
      </c>
      <c r="AZ80" s="8" t="n">
        <f aca="false">AZ79*$C$26</f>
        <v>43.0339132892957</v>
      </c>
      <c r="BA80" s="8" t="n">
        <f aca="false">BA79*$C$26</f>
        <v>45.6159480866535</v>
      </c>
      <c r="BB80" s="8" t="n">
        <f aca="false">BB79*$C$26</f>
        <v>48.3529049718526</v>
      </c>
      <c r="BC80" s="8" t="n">
        <f aca="false">BC79*$C$26</f>
        <v>51.2540792701638</v>
      </c>
      <c r="BD80" s="8" t="n">
        <f aca="false">BD79*$C$26</f>
        <v>54.3293240263736</v>
      </c>
      <c r="BE80" s="8" t="n">
        <f aca="false">BE79*$C$26</f>
        <v>57.5890834679561</v>
      </c>
      <c r="BF80" s="8" t="n">
        <f aca="false">BF79*$C$26</f>
        <v>61.0444284760334</v>
      </c>
      <c r="BG80" s="8" t="n">
        <f aca="false">BG79*$C$26</f>
        <v>64.7070941845955</v>
      </c>
      <c r="BH80" s="8" t="n">
        <f aca="false">BH79*$C$26</f>
        <v>68.5895198356712</v>
      </c>
      <c r="BI80" s="8" t="n">
        <f aca="false">BI79*$C$26</f>
        <v>72.7048910258115</v>
      </c>
      <c r="BJ80" s="8" t="n">
        <f aca="false">BJ79*$C$26</f>
        <v>77.0671844873601</v>
      </c>
      <c r="BK80" s="8" t="n">
        <f aca="false">BK79*$C$26</f>
        <v>81.6912155566018</v>
      </c>
    </row>
    <row r="81" customFormat="false" ht="15" hidden="false" customHeight="false" outlineLevel="0" collapsed="false">
      <c r="A81" s="0" t="s">
        <v>187</v>
      </c>
      <c r="C81" s="0" t="n">
        <v>0</v>
      </c>
      <c r="D81" s="51" t="n">
        <f aca="false">D80*$C$27</f>
        <v>0.065625</v>
      </c>
      <c r="E81" s="51" t="n">
        <f aca="false">E80*$C$27</f>
        <v>0.0695625</v>
      </c>
      <c r="F81" s="51" t="n">
        <f aca="false">F80*$C$27</f>
        <v>0.07373625</v>
      </c>
      <c r="G81" s="51" t="n">
        <f aca="false">G80*$C$27</f>
        <v>0.078160425</v>
      </c>
      <c r="H81" s="51" t="n">
        <f aca="false">H80*$C$27</f>
        <v>0.0828500505</v>
      </c>
      <c r="I81" s="51" t="n">
        <f aca="false">I80*$C$27</f>
        <v>0.08782105353</v>
      </c>
      <c r="J81" s="51" t="n">
        <f aca="false">J80*$C$27</f>
        <v>0.0930903167418</v>
      </c>
      <c r="K81" s="51" t="n">
        <f aca="false">K80*$C$27</f>
        <v>0.098675735746308</v>
      </c>
      <c r="L81" s="51" t="n">
        <f aca="false">L80*$C$27</f>
        <v>0.104596279891087</v>
      </c>
      <c r="M81" s="51" t="n">
        <f aca="false">M80*$C$27</f>
        <v>0.110872056684552</v>
      </c>
      <c r="N81" s="51" t="n">
        <f aca="false">N80*$C$27</f>
        <v>0.117524380085625</v>
      </c>
      <c r="O81" s="51" t="n">
        <f aca="false">O80*$C$27</f>
        <v>0.124575842890762</v>
      </c>
      <c r="P81" s="51" t="n">
        <f aca="false">P80*$C$27</f>
        <v>0.132050393464208</v>
      </c>
      <c r="Q81" s="51" t="n">
        <f aca="false">Q80*$C$27</f>
        <v>0.139973417072061</v>
      </c>
      <c r="R81" s="51" t="n">
        <f aca="false">R80*$C$27</f>
        <v>0.148371822096384</v>
      </c>
      <c r="S81" s="51" t="n">
        <f aca="false">S80*$C$27</f>
        <v>0.157274131422167</v>
      </c>
      <c r="T81" s="51" t="n">
        <f aca="false">T80*$C$27</f>
        <v>0.166710579307497</v>
      </c>
      <c r="U81" s="51" t="n">
        <f aca="false">U80*$C$27</f>
        <v>0.176713214065947</v>
      </c>
      <c r="V81" s="51" t="n">
        <f aca="false">V80*$C$27</f>
        <v>0.187316006909904</v>
      </c>
      <c r="W81" s="51" t="n">
        <f aca="false">W80*$C$27</f>
        <v>0.198554967324498</v>
      </c>
      <c r="X81" s="51" t="n">
        <f aca="false">X80*$C$27</f>
        <v>0.210468265363968</v>
      </c>
      <c r="Y81" s="51" t="n">
        <f aca="false">Y80*$C$27</f>
        <v>0.223096361285806</v>
      </c>
      <c r="Z81" s="51" t="n">
        <f aca="false">Z80*$C$27</f>
        <v>0.236482142962955</v>
      </c>
      <c r="AA81" s="51" t="n">
        <f aca="false">AA80*$C$27</f>
        <v>0.250671071540732</v>
      </c>
      <c r="AB81" s="51" t="n">
        <f aca="false">AB80*$C$27</f>
        <v>0.265711335833176</v>
      </c>
      <c r="AC81" s="51" t="n">
        <f aca="false">AC80*$C$27</f>
        <v>0.281654015983166</v>
      </c>
      <c r="AD81" s="51" t="n">
        <f aca="false">AD80*$C$27</f>
        <v>0.298553256942156</v>
      </c>
      <c r="AE81" s="51" t="n">
        <f aca="false">AE80*$C$27</f>
        <v>0.316466452358686</v>
      </c>
      <c r="AF81" s="51" t="n">
        <f aca="false">AF80*$C$27</f>
        <v>0.335454439500207</v>
      </c>
      <c r="AG81" s="51" t="n">
        <f aca="false">AG80*$C$27</f>
        <v>0.355581705870219</v>
      </c>
      <c r="AH81" s="51" t="n">
        <f aca="false">AH80*$C$27</f>
        <v>0.376916608222433</v>
      </c>
      <c r="AI81" s="51" t="n">
        <f aca="false">AI80*$C$27</f>
        <v>0.399531604715779</v>
      </c>
      <c r="AJ81" s="51" t="n">
        <f aca="false">AJ80*$C$27</f>
        <v>0.423503500998725</v>
      </c>
      <c r="AK81" s="51" t="n">
        <f aca="false">AK80*$C$27</f>
        <v>0.448913711058649</v>
      </c>
      <c r="AL81" s="51" t="n">
        <f aca="false">AL80*$C$27</f>
        <v>0.475848533722168</v>
      </c>
      <c r="AM81" s="51" t="n">
        <f aca="false">AM80*$C$27</f>
        <v>0.504399445745498</v>
      </c>
      <c r="AN81" s="51" t="n">
        <f aca="false">AN80*$C$27</f>
        <v>0.534663412490228</v>
      </c>
      <c r="AO81" s="51" t="n">
        <f aca="false">AO80*$C$27</f>
        <v>0.566743217239642</v>
      </c>
      <c r="AP81" s="51" t="n">
        <f aca="false">AP80*$C$27</f>
        <v>0.60074781027402</v>
      </c>
      <c r="AQ81" s="51" t="n">
        <f aca="false">AQ80*$C$27</f>
        <v>0.636792678890461</v>
      </c>
      <c r="AR81" s="51" t="n">
        <f aca="false">AR80*$C$27</f>
        <v>0.675000239623889</v>
      </c>
      <c r="AS81" s="51" t="n">
        <f aca="false">AS80*$C$27</f>
        <v>0.715500254001322</v>
      </c>
      <c r="AT81" s="51" t="n">
        <f aca="false">AT80*$C$27</f>
        <v>0.758430269241402</v>
      </c>
      <c r="AU81" s="51" t="n">
        <f aca="false">AU80*$C$27</f>
        <v>0.803936085395886</v>
      </c>
      <c r="AV81" s="51" t="n">
        <f aca="false">AV80*$C$27</f>
        <v>0.852172250519639</v>
      </c>
      <c r="AW81" s="51" t="n">
        <f aca="false">AW80*$C$27</f>
        <v>0.903302585550818</v>
      </c>
      <c r="AX81" s="51" t="n">
        <f aca="false">AX80*$C$27</f>
        <v>0.957500740683867</v>
      </c>
      <c r="AY81" s="51" t="n">
        <f aca="false">AY80*$C$27</f>
        <v>1.0149507851249</v>
      </c>
      <c r="AZ81" s="51" t="n">
        <f aca="false">AZ80*$C$27</f>
        <v>1.07584783223239</v>
      </c>
      <c r="BA81" s="51" t="n">
        <f aca="false">BA80*$C$27</f>
        <v>1.14039870216634</v>
      </c>
      <c r="BB81" s="51" t="n">
        <f aca="false">BB80*$C$27</f>
        <v>1.20882262429632</v>
      </c>
      <c r="BC81" s="51" t="n">
        <f aca="false">BC80*$C$27</f>
        <v>1.2813519817541</v>
      </c>
      <c r="BD81" s="51" t="n">
        <f aca="false">BD80*$C$27</f>
        <v>1.35823310065934</v>
      </c>
      <c r="BE81" s="51" t="n">
        <f aca="false">BE80*$C$27</f>
        <v>1.4397270866989</v>
      </c>
      <c r="BF81" s="51" t="n">
        <f aca="false">BF80*$C$27</f>
        <v>1.52611071190084</v>
      </c>
      <c r="BG81" s="51" t="n">
        <f aca="false">BG80*$C$27</f>
        <v>1.61767735461489</v>
      </c>
      <c r="BH81" s="51" t="n">
        <f aca="false">BH80*$C$27</f>
        <v>1.71473799589178</v>
      </c>
      <c r="BI81" s="51" t="n">
        <f aca="false">BI80*$C$27</f>
        <v>1.81762227564529</v>
      </c>
      <c r="BJ81" s="51" t="n">
        <f aca="false">BJ80*$C$27</f>
        <v>1.926679612184</v>
      </c>
      <c r="BK81" s="51" t="n">
        <f aca="false">BK80*$C$27</f>
        <v>2.04228038891504</v>
      </c>
    </row>
    <row r="82" customFormat="false" ht="15" hidden="false" customHeight="false" outlineLevel="0" collapsed="false">
      <c r="A82" s="0" t="s">
        <v>188</v>
      </c>
      <c r="D82" s="51" t="n">
        <f aca="false">D81*$C$28</f>
        <v>0.04265625</v>
      </c>
      <c r="E82" s="51" t="n">
        <f aca="false">E81*$C$28</f>
        <v>0.045215625</v>
      </c>
      <c r="F82" s="51" t="n">
        <f aca="false">F81*$C$28</f>
        <v>0.0479285625</v>
      </c>
      <c r="G82" s="51" t="n">
        <f aca="false">G81*$C$28</f>
        <v>0.05080427625</v>
      </c>
      <c r="H82" s="51" t="n">
        <f aca="false">H81*$C$28</f>
        <v>0.053852532825</v>
      </c>
      <c r="I82" s="51" t="n">
        <f aca="false">I81*$C$28</f>
        <v>0.0570836847945</v>
      </c>
      <c r="J82" s="51" t="n">
        <f aca="false">J81*$C$28</f>
        <v>0.06050870588217</v>
      </c>
      <c r="K82" s="51" t="n">
        <f aca="false">K81*$C$28</f>
        <v>0.0641392282351002</v>
      </c>
      <c r="L82" s="51" t="n">
        <f aca="false">L81*$C$28</f>
        <v>0.0679875819292062</v>
      </c>
      <c r="M82" s="51" t="n">
        <f aca="false">M81*$C$28</f>
        <v>0.0720668368449586</v>
      </c>
      <c r="N82" s="51" t="n">
        <f aca="false">N81*$C$28</f>
        <v>0.0763908470556561</v>
      </c>
      <c r="O82" s="51" t="n">
        <f aca="false">O81*$C$28</f>
        <v>0.0809742978789955</v>
      </c>
      <c r="P82" s="51" t="n">
        <f aca="false">P81*$C$28</f>
        <v>0.0858327557517353</v>
      </c>
      <c r="Q82" s="51" t="n">
        <f aca="false">Q81*$C$28</f>
        <v>0.0909827210968394</v>
      </c>
      <c r="R82" s="51" t="n">
        <f aca="false">R81*$C$28</f>
        <v>0.0964416843626497</v>
      </c>
      <c r="S82" s="51" t="n">
        <f aca="false">S81*$C$28</f>
        <v>0.102228185424409</v>
      </c>
      <c r="T82" s="51" t="n">
        <f aca="false">T81*$C$28</f>
        <v>0.108361876549873</v>
      </c>
      <c r="U82" s="51" t="n">
        <f aca="false">U81*$C$28</f>
        <v>0.114863589142866</v>
      </c>
      <c r="V82" s="51" t="n">
        <f aca="false">V81*$C$28</f>
        <v>0.121755404491438</v>
      </c>
      <c r="W82" s="51" t="n">
        <f aca="false">W81*$C$28</f>
        <v>0.129060728760924</v>
      </c>
      <c r="X82" s="51" t="n">
        <f aca="false">X81*$C$28</f>
        <v>0.136804372486579</v>
      </c>
      <c r="Y82" s="51" t="n">
        <f aca="false">Y81*$C$28</f>
        <v>0.145012634835774</v>
      </c>
      <c r="Z82" s="51" t="n">
        <f aca="false">Z81*$C$28</f>
        <v>0.153713392925921</v>
      </c>
      <c r="AA82" s="51" t="n">
        <f aca="false">AA81*$C$28</f>
        <v>0.162936196501476</v>
      </c>
      <c r="AB82" s="51" t="n">
        <f aca="false">AB81*$C$28</f>
        <v>0.172712368291564</v>
      </c>
      <c r="AC82" s="51" t="n">
        <f aca="false">AC81*$C$28</f>
        <v>0.183075110389058</v>
      </c>
      <c r="AD82" s="51" t="n">
        <f aca="false">AD81*$C$28</f>
        <v>0.194059617012402</v>
      </c>
      <c r="AE82" s="51" t="n">
        <f aca="false">AE81*$C$28</f>
        <v>0.205703194033146</v>
      </c>
      <c r="AF82" s="51" t="n">
        <f aca="false">AF81*$C$28</f>
        <v>0.218045385675135</v>
      </c>
      <c r="AG82" s="51" t="n">
        <f aca="false">AG81*$C$28</f>
        <v>0.231128108815643</v>
      </c>
      <c r="AH82" s="51" t="n">
        <f aca="false">AH81*$C$28</f>
        <v>0.244995795344581</v>
      </c>
      <c r="AI82" s="51" t="n">
        <f aca="false">AI81*$C$28</f>
        <v>0.259695543065256</v>
      </c>
      <c r="AJ82" s="51" t="n">
        <f aca="false">AJ81*$C$28</f>
        <v>0.275277275649172</v>
      </c>
      <c r="AK82" s="51" t="n">
        <f aca="false">AK81*$C$28</f>
        <v>0.291793912188122</v>
      </c>
      <c r="AL82" s="51" t="n">
        <f aca="false">AL81*$C$28</f>
        <v>0.309301546919409</v>
      </c>
      <c r="AM82" s="51" t="n">
        <f aca="false">AM81*$C$28</f>
        <v>0.327859639734574</v>
      </c>
      <c r="AN82" s="51" t="n">
        <f aca="false">AN81*$C$28</f>
        <v>0.347531218118648</v>
      </c>
      <c r="AO82" s="51" t="n">
        <f aca="false">AO81*$C$28</f>
        <v>0.368383091205767</v>
      </c>
      <c r="AP82" s="51" t="n">
        <f aca="false">AP81*$C$28</f>
        <v>0.390486076678113</v>
      </c>
      <c r="AQ82" s="51" t="n">
        <f aca="false">AQ81*$C$28</f>
        <v>0.4139152412788</v>
      </c>
      <c r="AR82" s="51" t="n">
        <f aca="false">AR81*$C$28</f>
        <v>0.438750155755528</v>
      </c>
      <c r="AS82" s="51" t="n">
        <f aca="false">AS81*$C$28</f>
        <v>0.46507516510086</v>
      </c>
      <c r="AT82" s="51" t="n">
        <f aca="false">AT81*$C$28</f>
        <v>0.492979675006911</v>
      </c>
      <c r="AU82" s="51" t="n">
        <f aca="false">AU81*$C$28</f>
        <v>0.522558455507326</v>
      </c>
      <c r="AV82" s="51" t="n">
        <f aca="false">AV81*$C$28</f>
        <v>0.553911962837765</v>
      </c>
      <c r="AW82" s="51" t="n">
        <f aca="false">AW81*$C$28</f>
        <v>0.587146680608031</v>
      </c>
      <c r="AX82" s="51" t="n">
        <f aca="false">AX81*$C$28</f>
        <v>0.622375481444513</v>
      </c>
      <c r="AY82" s="51" t="n">
        <f aca="false">AY81*$C$28</f>
        <v>0.659718010331184</v>
      </c>
      <c r="AZ82" s="51" t="n">
        <f aca="false">AZ81*$C$28</f>
        <v>0.699301090951055</v>
      </c>
      <c r="BA82" s="51" t="n">
        <f aca="false">BA81*$C$28</f>
        <v>0.741259156408119</v>
      </c>
      <c r="BB82" s="51" t="n">
        <f aca="false">BB81*$C$28</f>
        <v>0.785734705792606</v>
      </c>
      <c r="BC82" s="51" t="n">
        <f aca="false">BC81*$C$28</f>
        <v>0.832878788140162</v>
      </c>
      <c r="BD82" s="51" t="n">
        <f aca="false">BD81*$C$28</f>
        <v>0.882851515428572</v>
      </c>
      <c r="BE82" s="51" t="n">
        <f aca="false">BE81*$C$28</f>
        <v>0.935822606354286</v>
      </c>
      <c r="BF82" s="51" t="n">
        <f aca="false">BF81*$C$28</f>
        <v>0.991971962735543</v>
      </c>
      <c r="BG82" s="51" t="n">
        <f aca="false">BG81*$C$28</f>
        <v>1.05149028049968</v>
      </c>
      <c r="BH82" s="51" t="n">
        <f aca="false">BH81*$C$28</f>
        <v>1.11457969732966</v>
      </c>
      <c r="BI82" s="51" t="n">
        <f aca="false">BI81*$C$28</f>
        <v>1.18145447916944</v>
      </c>
      <c r="BJ82" s="51" t="n">
        <f aca="false">BJ81*$C$28</f>
        <v>1.2523417479196</v>
      </c>
      <c r="BK82" s="51" t="n">
        <f aca="false">BK81*$C$28</f>
        <v>1.32748225279478</v>
      </c>
    </row>
    <row r="83" customFormat="false" ht="15" hidden="false" customHeight="false" outlineLevel="0" collapsed="false">
      <c r="A83" s="0" t="s">
        <v>189</v>
      </c>
      <c r="D83" s="51" t="n">
        <f aca="false">D81*$C$29</f>
        <v>0.018375</v>
      </c>
      <c r="E83" s="51" t="n">
        <f aca="false">E81*$C$29</f>
        <v>0.0194775</v>
      </c>
      <c r="F83" s="51" t="n">
        <f aca="false">F81*$C$29</f>
        <v>0.02064615</v>
      </c>
      <c r="G83" s="51" t="n">
        <f aca="false">G81*$C$29</f>
        <v>0.021884919</v>
      </c>
      <c r="H83" s="51" t="n">
        <f aca="false">H81*$C$29</f>
        <v>0.02319801414</v>
      </c>
      <c r="I83" s="51" t="n">
        <f aca="false">I81*$C$29</f>
        <v>0.0245898949884</v>
      </c>
      <c r="J83" s="51" t="n">
        <f aca="false">J81*$C$29</f>
        <v>0.026065288687704</v>
      </c>
      <c r="K83" s="51" t="n">
        <f aca="false">K81*$C$29</f>
        <v>0.0276292060089662</v>
      </c>
      <c r="L83" s="51" t="n">
        <f aca="false">L81*$C$29</f>
        <v>0.0292869583695042</v>
      </c>
      <c r="M83" s="51" t="n">
        <f aca="false">M81*$C$29</f>
        <v>0.0310441758716745</v>
      </c>
      <c r="N83" s="51" t="n">
        <f aca="false">N81*$C$29</f>
        <v>0.032906826423975</v>
      </c>
      <c r="O83" s="51" t="n">
        <f aca="false">O81*$C$29</f>
        <v>0.0348812360094135</v>
      </c>
      <c r="P83" s="51" t="n">
        <f aca="false">P81*$C$29</f>
        <v>0.0369741101699783</v>
      </c>
      <c r="Q83" s="51" t="n">
        <f aca="false">Q81*$C$29</f>
        <v>0.039192556780177</v>
      </c>
      <c r="R83" s="51" t="n">
        <f aca="false">R81*$C$29</f>
        <v>0.0415441101869876</v>
      </c>
      <c r="S83" s="51" t="n">
        <f aca="false">S81*$C$29</f>
        <v>0.0440367567982068</v>
      </c>
      <c r="T83" s="51" t="n">
        <f aca="false">T81*$C$29</f>
        <v>0.0466789622060992</v>
      </c>
      <c r="U83" s="51" t="n">
        <f aca="false">U81*$C$29</f>
        <v>0.0494796999384652</v>
      </c>
      <c r="V83" s="51" t="n">
        <f aca="false">V81*$C$29</f>
        <v>0.0524484819347731</v>
      </c>
      <c r="W83" s="51" t="n">
        <f aca="false">W81*$C$29</f>
        <v>0.0555953908508595</v>
      </c>
      <c r="X83" s="51" t="n">
        <f aca="false">X81*$C$29</f>
        <v>0.0589311143019111</v>
      </c>
      <c r="Y83" s="51" t="n">
        <f aca="false">Y81*$C$29</f>
        <v>0.0624669811600258</v>
      </c>
      <c r="Z83" s="51" t="n">
        <f aca="false">Z81*$C$29</f>
        <v>0.0662150000296273</v>
      </c>
      <c r="AA83" s="51" t="n">
        <f aca="false">AA81*$C$29</f>
        <v>0.0701879000314049</v>
      </c>
      <c r="AB83" s="51" t="n">
        <f aca="false">AB81*$C$29</f>
        <v>0.0743991740332892</v>
      </c>
      <c r="AC83" s="51" t="n">
        <f aca="false">AC81*$C$29</f>
        <v>0.0788631244752866</v>
      </c>
      <c r="AD83" s="51" t="n">
        <f aca="false">AD81*$C$29</f>
        <v>0.0835949119438038</v>
      </c>
      <c r="AE83" s="51" t="n">
        <f aca="false">AE81*$C$29</f>
        <v>0.088610606660432</v>
      </c>
      <c r="AF83" s="51" t="n">
        <f aca="false">AF81*$C$29</f>
        <v>0.093927243060058</v>
      </c>
      <c r="AG83" s="51" t="n">
        <f aca="false">AG81*$C$29</f>
        <v>0.0995628776436615</v>
      </c>
      <c r="AH83" s="51" t="n">
        <f aca="false">AH81*$C$29</f>
        <v>0.105536650302281</v>
      </c>
      <c r="AI83" s="51" t="n">
        <f aca="false">AI81*$C$29</f>
        <v>0.111868849320418</v>
      </c>
      <c r="AJ83" s="51" t="n">
        <f aca="false">AJ81*$C$29</f>
        <v>0.118580980279643</v>
      </c>
      <c r="AK83" s="51" t="n">
        <f aca="false">AK81*$C$29</f>
        <v>0.125695839096422</v>
      </c>
      <c r="AL83" s="51" t="n">
        <f aca="false">AL81*$C$29</f>
        <v>0.133237589442207</v>
      </c>
      <c r="AM83" s="51" t="n">
        <f aca="false">AM81*$C$29</f>
        <v>0.141231844808739</v>
      </c>
      <c r="AN83" s="51" t="n">
        <f aca="false">AN81*$C$29</f>
        <v>0.149705755497264</v>
      </c>
      <c r="AO83" s="51" t="n">
        <f aca="false">AO81*$C$29</f>
        <v>0.1586881008271</v>
      </c>
      <c r="AP83" s="51" t="n">
        <f aca="false">AP81*$C$29</f>
        <v>0.168209386876726</v>
      </c>
      <c r="AQ83" s="51" t="n">
        <f aca="false">AQ81*$C$29</f>
        <v>0.178301950089329</v>
      </c>
      <c r="AR83" s="51" t="n">
        <f aca="false">AR81*$C$29</f>
        <v>0.189000067094689</v>
      </c>
      <c r="AS83" s="51" t="n">
        <f aca="false">AS81*$C$29</f>
        <v>0.20034007112037</v>
      </c>
      <c r="AT83" s="51" t="n">
        <f aca="false">AT81*$C$29</f>
        <v>0.212360475387592</v>
      </c>
      <c r="AU83" s="51" t="n">
        <f aca="false">AU81*$C$29</f>
        <v>0.225102103910848</v>
      </c>
      <c r="AV83" s="51" t="n">
        <f aca="false">AV81*$C$29</f>
        <v>0.238608230145499</v>
      </c>
      <c r="AW83" s="51" t="n">
        <f aca="false">AW81*$C$29</f>
        <v>0.252924723954229</v>
      </c>
      <c r="AX83" s="51" t="n">
        <f aca="false">AX81*$C$29</f>
        <v>0.268100207391483</v>
      </c>
      <c r="AY83" s="51" t="n">
        <f aca="false">AY81*$C$29</f>
        <v>0.284186219834972</v>
      </c>
      <c r="AZ83" s="51" t="n">
        <f aca="false">AZ81*$C$29</f>
        <v>0.30123739302507</v>
      </c>
      <c r="BA83" s="51" t="n">
        <f aca="false">BA81*$C$29</f>
        <v>0.319311636606574</v>
      </c>
      <c r="BB83" s="51" t="n">
        <f aca="false">BB81*$C$29</f>
        <v>0.338470334802969</v>
      </c>
      <c r="BC83" s="51" t="n">
        <f aca="false">BC81*$C$29</f>
        <v>0.358778554891147</v>
      </c>
      <c r="BD83" s="51" t="n">
        <f aca="false">BD81*$C$29</f>
        <v>0.380305268184616</v>
      </c>
      <c r="BE83" s="51" t="n">
        <f aca="false">BE81*$C$29</f>
        <v>0.403123584275693</v>
      </c>
      <c r="BF83" s="51" t="n">
        <f aca="false">BF81*$C$29</f>
        <v>0.427310999332234</v>
      </c>
      <c r="BG83" s="51" t="n">
        <f aca="false">BG81*$C$29</f>
        <v>0.452949659292168</v>
      </c>
      <c r="BH83" s="51" t="n">
        <f aca="false">BH81*$C$29</f>
        <v>0.480126638849698</v>
      </c>
      <c r="BI83" s="51" t="n">
        <f aca="false">BI81*$C$29</f>
        <v>0.50893423718068</v>
      </c>
      <c r="BJ83" s="51" t="n">
        <f aca="false">BJ81*$C$29</f>
        <v>0.539470291411521</v>
      </c>
      <c r="BK83" s="51" t="n">
        <f aca="false">BK81*$C$29</f>
        <v>0.571838508896212</v>
      </c>
    </row>
    <row r="84" customFormat="false" ht="15" hidden="false" customHeight="false" outlineLevel="0" collapsed="false">
      <c r="A84" s="0" t="s">
        <v>190</v>
      </c>
      <c r="D84" s="51" t="n">
        <f aca="false">D81*$C$30</f>
        <v>0.00459375</v>
      </c>
      <c r="E84" s="51" t="n">
        <f aca="false">E81*$C$30</f>
        <v>0.004869375</v>
      </c>
      <c r="F84" s="51" t="n">
        <f aca="false">F81*$C$30</f>
        <v>0.0051615375</v>
      </c>
      <c r="G84" s="51" t="n">
        <f aca="false">G81*$C$30</f>
        <v>0.00547122975</v>
      </c>
      <c r="H84" s="51" t="n">
        <f aca="false">H81*$C$30</f>
        <v>0.005799503535</v>
      </c>
      <c r="I84" s="51" t="n">
        <f aca="false">I81*$C$30</f>
        <v>0.0061474737471</v>
      </c>
      <c r="J84" s="51" t="n">
        <f aca="false">J81*$C$30</f>
        <v>0.006516322171926</v>
      </c>
      <c r="K84" s="51" t="n">
        <f aca="false">K81*$C$30</f>
        <v>0.00690730150224156</v>
      </c>
      <c r="L84" s="51" t="n">
        <f aca="false">L81*$C$30</f>
        <v>0.00732173959237605</v>
      </c>
      <c r="M84" s="51" t="n">
        <f aca="false">M81*$C$30</f>
        <v>0.00776104396791861</v>
      </c>
      <c r="N84" s="51" t="n">
        <f aca="false">N81*$C$30</f>
        <v>0.00822670660599373</v>
      </c>
      <c r="O84" s="51" t="n">
        <f aca="false">O81*$C$30</f>
        <v>0.00872030900235336</v>
      </c>
      <c r="P84" s="51" t="n">
        <f aca="false">P81*$C$30</f>
        <v>0.00924352754249456</v>
      </c>
      <c r="Q84" s="51" t="n">
        <f aca="false">Q81*$C$30</f>
        <v>0.00979813919504423</v>
      </c>
      <c r="R84" s="51" t="n">
        <f aca="false">R81*$C$30</f>
        <v>0.0103860275467469</v>
      </c>
      <c r="S84" s="51" t="n">
        <f aca="false">S81*$C$30</f>
        <v>0.0110091891995517</v>
      </c>
      <c r="T84" s="51" t="n">
        <f aca="false">T81*$C$30</f>
        <v>0.0116697405515248</v>
      </c>
      <c r="U84" s="51" t="n">
        <f aca="false">U81*$C$30</f>
        <v>0.0123699249846163</v>
      </c>
      <c r="V84" s="51" t="n">
        <f aca="false">V81*$C$30</f>
        <v>0.0131121204836933</v>
      </c>
      <c r="W84" s="51" t="n">
        <f aca="false">W81*$C$30</f>
        <v>0.0138988477127149</v>
      </c>
      <c r="X84" s="51" t="n">
        <f aca="false">X81*$C$30</f>
        <v>0.0147327785754778</v>
      </c>
      <c r="Y84" s="51" t="n">
        <f aca="false">Y81*$C$30</f>
        <v>0.0156167452900064</v>
      </c>
      <c r="Z84" s="51" t="n">
        <f aca="false">Z81*$C$30</f>
        <v>0.0165537500074068</v>
      </c>
      <c r="AA84" s="51" t="n">
        <f aca="false">AA81*$C$30</f>
        <v>0.0175469750078512</v>
      </c>
      <c r="AB84" s="51" t="n">
        <f aca="false">AB81*$C$30</f>
        <v>0.0185997935083223</v>
      </c>
      <c r="AC84" s="51" t="n">
        <f aca="false">AC81*$C$30</f>
        <v>0.0197157811188216</v>
      </c>
      <c r="AD84" s="51" t="n">
        <f aca="false">AD81*$C$30</f>
        <v>0.0208987279859509</v>
      </c>
      <c r="AE84" s="51" t="n">
        <f aca="false">AE81*$C$30</f>
        <v>0.022152651665108</v>
      </c>
      <c r="AF84" s="51" t="n">
        <f aca="false">AF81*$C$30</f>
        <v>0.0234818107650145</v>
      </c>
      <c r="AG84" s="51" t="n">
        <f aca="false">AG81*$C$30</f>
        <v>0.0248907194109153</v>
      </c>
      <c r="AH84" s="51" t="n">
        <f aca="false">AH81*$C$30</f>
        <v>0.0263841625755703</v>
      </c>
      <c r="AI84" s="51" t="n">
        <f aca="false">AI81*$C$30</f>
        <v>0.0279672123301045</v>
      </c>
      <c r="AJ84" s="51" t="n">
        <f aca="false">AJ81*$C$30</f>
        <v>0.0296452450699108</v>
      </c>
      <c r="AK84" s="51" t="n">
        <f aca="false">AK81*$C$30</f>
        <v>0.0314239597741054</v>
      </c>
      <c r="AL84" s="51" t="n">
        <f aca="false">AL81*$C$30</f>
        <v>0.0333093973605517</v>
      </c>
      <c r="AM84" s="51" t="n">
        <f aca="false">AM81*$C$30</f>
        <v>0.0353079612021848</v>
      </c>
      <c r="AN84" s="51" t="n">
        <f aca="false">AN81*$C$30</f>
        <v>0.0374264388743159</v>
      </c>
      <c r="AO84" s="51" t="n">
        <f aca="false">AO81*$C$30</f>
        <v>0.0396720252067749</v>
      </c>
      <c r="AP84" s="51" t="n">
        <f aca="false">AP81*$C$30</f>
        <v>0.0420523467191814</v>
      </c>
      <c r="AQ84" s="51" t="n">
        <f aca="false">AQ81*$C$30</f>
        <v>0.0445754875223323</v>
      </c>
      <c r="AR84" s="51" t="n">
        <f aca="false">AR81*$C$30</f>
        <v>0.0472500167736722</v>
      </c>
      <c r="AS84" s="51" t="n">
        <f aca="false">AS81*$C$30</f>
        <v>0.0500850177800925</v>
      </c>
      <c r="AT84" s="51" t="n">
        <f aca="false">AT81*$C$30</f>
        <v>0.0530901188468981</v>
      </c>
      <c r="AU84" s="51" t="n">
        <f aca="false">AU81*$C$30</f>
        <v>0.056275525977712</v>
      </c>
      <c r="AV84" s="51" t="n">
        <f aca="false">AV81*$C$30</f>
        <v>0.0596520575363747</v>
      </c>
      <c r="AW84" s="51" t="n">
        <f aca="false">AW81*$C$30</f>
        <v>0.0632311809885572</v>
      </c>
      <c r="AX84" s="51" t="n">
        <f aca="false">AX81*$C$30</f>
        <v>0.0670250518478706</v>
      </c>
      <c r="AY84" s="51" t="n">
        <f aca="false">AY81*$C$30</f>
        <v>0.0710465549587429</v>
      </c>
      <c r="AZ84" s="51" t="n">
        <f aca="false">AZ81*$C$30</f>
        <v>0.0753093482562674</v>
      </c>
      <c r="BA84" s="51" t="n">
        <f aca="false">BA81*$C$30</f>
        <v>0.0798279091516435</v>
      </c>
      <c r="BB84" s="51" t="n">
        <f aca="false">BB81*$C$30</f>
        <v>0.0846175837007421</v>
      </c>
      <c r="BC84" s="51" t="n">
        <f aca="false">BC81*$C$30</f>
        <v>0.0896946387227866</v>
      </c>
      <c r="BD84" s="51" t="n">
        <f aca="false">BD81*$C$30</f>
        <v>0.0950763170461538</v>
      </c>
      <c r="BE84" s="51" t="n">
        <f aca="false">BE81*$C$30</f>
        <v>0.100780896068923</v>
      </c>
      <c r="BF84" s="51" t="n">
        <f aca="false">BF81*$C$30</f>
        <v>0.106827749833058</v>
      </c>
      <c r="BG84" s="51" t="n">
        <f aca="false">BG81*$C$30</f>
        <v>0.113237414823042</v>
      </c>
      <c r="BH84" s="51" t="n">
        <f aca="false">BH81*$C$30</f>
        <v>0.120031659712424</v>
      </c>
      <c r="BI84" s="51" t="n">
        <f aca="false">BI81*$C$30</f>
        <v>0.12723355929517</v>
      </c>
      <c r="BJ84" s="51" t="n">
        <f aca="false">BJ81*$C$30</f>
        <v>0.13486757285288</v>
      </c>
      <c r="BK84" s="51" t="n">
        <f aca="false">BK81*$C$30</f>
        <v>0.142959627224053</v>
      </c>
    </row>
    <row r="85" customFormat="false" ht="15" hidden="false" customHeight="false" outlineLevel="0" collapsed="false">
      <c r="A85" s="0" t="s">
        <v>191</v>
      </c>
      <c r="C85" s="0" t="n">
        <v>0</v>
      </c>
      <c r="D85" s="8" t="n">
        <f aca="false">C85*(1-$C$35)+D82</f>
        <v>0.04265625</v>
      </c>
      <c r="E85" s="8" t="n">
        <f aca="false">D85*(1-$C$35)+E82</f>
        <v>0.082753125</v>
      </c>
      <c r="F85" s="8" t="n">
        <f aca="false">E85*(1-$C$35)+F82</f>
        <v>0.1207513125</v>
      </c>
      <c r="G85" s="8" t="n">
        <f aca="false">F85*(1-$C$35)+G82</f>
        <v>0.15706543125</v>
      </c>
      <c r="H85" s="8" t="n">
        <f aca="false">G85*(1-$C$35)+H82</f>
        <v>0.192070112325</v>
      </c>
      <c r="I85" s="8" t="n">
        <f aca="false">H85*(1-$C$35)+I82</f>
        <v>0.2261053836405</v>
      </c>
      <c r="J85" s="8" t="n">
        <f aca="false">I85*(1-$C$35)+J82</f>
        <v>0.25948144348581</v>
      </c>
      <c r="K85" s="8" t="n">
        <f aca="false">J85*(1-$C$35)+K82</f>
        <v>0.292482898502613</v>
      </c>
      <c r="L85" s="8" t="n">
        <f aca="false">K85*(1-$C$35)+L82</f>
        <v>0.325372532611506</v>
      </c>
      <c r="M85" s="8" t="n">
        <f aca="false">L85*(1-$C$35)+M82</f>
        <v>0.358394665543084</v>
      </c>
      <c r="N85" s="8" t="n">
        <f aca="false">M85*(1-$C$35)+N82</f>
        <v>0.39177815273357</v>
      </c>
      <c r="O85" s="8" t="n">
        <f aca="false">N85*(1-$C$35)+O82</f>
        <v>0.425739072284537</v>
      </c>
      <c r="P85" s="8" t="n">
        <f aca="false">O85*(1-$C$35)+P82</f>
        <v>0.460483139362128</v>
      </c>
      <c r="Q85" s="8" t="n">
        <f aca="false">P85*(1-$C$35)+Q82</f>
        <v>0.496207883735512</v>
      </c>
      <c r="R85" s="8" t="n">
        <f aca="false">Q85*(1-$C$35)+R82</f>
        <v>0.5331046220499</v>
      </c>
      <c r="S85" s="8" t="n">
        <f aca="false">R85*(1-$C$35)+S82</f>
        <v>0.571360252828321</v>
      </c>
      <c r="T85" s="8" t="n">
        <f aca="false">S85*(1-$C$35)+T82</f>
        <v>0.611158899038796</v>
      </c>
      <c r="U85" s="8" t="n">
        <f aca="false">T85*(1-$C$35)+U82</f>
        <v>0.652683420297006</v>
      </c>
      <c r="V85" s="8" t="n">
        <f aca="false">U85*(1-$C$35)+V82</f>
        <v>0.696116814352803</v>
      </c>
      <c r="W85" s="8" t="n">
        <f aca="false">V85*(1-$C$35)+W82</f>
        <v>0.74164352539139</v>
      </c>
      <c r="X85" s="8" t="n">
        <f aca="false">W85*(1-$C$35)+X82</f>
        <v>0.789450674831003</v>
      </c>
      <c r="Y85" s="8" t="n">
        <f aca="false">X85*(1-$C$35)+Y82</f>
        <v>0.839729228687057</v>
      </c>
      <c r="Z85" s="8" t="n">
        <f aca="false">Y85*(1-$C$35)+Z82</f>
        <v>0.89267511417053</v>
      </c>
      <c r="AA85" s="8" t="n">
        <f aca="false">Z85*(1-$C$35)+AA82</f>
        <v>0.948490296971542</v>
      </c>
      <c r="AB85" s="8" t="n">
        <f aca="false">AA85*(1-$C$35)+AB82</f>
        <v>1.00738382962652</v>
      </c>
      <c r="AC85" s="8" t="n">
        <f aca="false">AB85*(1-$C$35)+AC82</f>
        <v>1.0695728804604</v>
      </c>
      <c r="AD85" s="8" t="n">
        <f aca="false">AC85*(1-$C$35)+AD82</f>
        <v>1.13528375181755</v>
      </c>
      <c r="AE85" s="8" t="n">
        <f aca="false">AD85*(1-$C$35)+AE82</f>
        <v>1.20475289563259</v>
      </c>
      <c r="AF85" s="8" t="n">
        <f aca="false">AE85*(1-$C$35)+AF82</f>
        <v>1.27822793383181</v>
      </c>
      <c r="AG85" s="8" t="n">
        <f aca="false">AF85*(1-$C$35)+AG82</f>
        <v>1.35596869058764</v>
      </c>
      <c r="AH85" s="8" t="n">
        <f aca="false">AG85*(1-$C$35)+AH82</f>
        <v>1.4382482430617</v>
      </c>
      <c r="AI85" s="8" t="n">
        <f aca="false">AH85*(1-$C$35)+AI82</f>
        <v>1.52535399695956</v>
      </c>
      <c r="AJ85" s="8" t="n">
        <f aca="false">AI85*(1-$C$35)+AJ82</f>
        <v>1.61758879297358</v>
      </c>
      <c r="AK85" s="8" t="n">
        <f aca="false">AJ85*(1-$C$35)+AK82</f>
        <v>1.71527205000487</v>
      </c>
      <c r="AL85" s="8" t="n">
        <f aca="false">AK85*(1-$C$35)+AL82</f>
        <v>1.8187409509237</v>
      </c>
      <c r="AM85" s="8" t="n">
        <f aca="false">AL85*(1-$C$35)+AM82</f>
        <v>1.92835167654743</v>
      </c>
      <c r="AN85" s="8" t="n">
        <f aca="false">AM85*(1-$C$35)+AN82</f>
        <v>2.04448069348038</v>
      </c>
      <c r="AO85" s="8" t="n">
        <f aca="false">AN85*(1-$C$35)+AO82</f>
        <v>2.1675261014685</v>
      </c>
      <c r="AP85" s="8" t="n">
        <f aca="false">AO85*(1-$C$35)+AP82</f>
        <v>2.2979090459704</v>
      </c>
      <c r="AQ85" s="8" t="n">
        <f aca="false">AP85*(1-$C$35)+AQ82</f>
        <v>2.43607520173275</v>
      </c>
      <c r="AR85" s="8" t="n">
        <f aca="false">AQ85*(1-$C$35)+AR82</f>
        <v>2.58249633328035</v>
      </c>
      <c r="AS85" s="8" t="n">
        <f aca="false">AR85*(1-$C$35)+AS82</f>
        <v>2.73767193838756</v>
      </c>
      <c r="AT85" s="8" t="n">
        <f aca="false">AS85*(1-$C$35)+AT82</f>
        <v>2.90213098078797</v>
      </c>
      <c r="AU85" s="8" t="n">
        <f aca="false">AT85*(1-$C$35)+AU82</f>
        <v>3.07643371860074</v>
      </c>
      <c r="AV85" s="8" t="n">
        <f aca="false">AU85*(1-$C$35)+AV82</f>
        <v>3.26117363520641</v>
      </c>
      <c r="AW85" s="8" t="n">
        <f aca="false">AV85*(1-$C$35)+AW82</f>
        <v>3.45697947958968</v>
      </c>
      <c r="AX85" s="8" t="n">
        <f aca="false">AW85*(1-$C$35)+AX82</f>
        <v>3.66451742348343</v>
      </c>
      <c r="AY85" s="8" t="n">
        <f aca="false">AX85*(1-$C$35)+AY82</f>
        <v>3.8844933429966</v>
      </c>
      <c r="AZ85" s="8" t="n">
        <f aca="false">AY85*(1-$C$35)+AZ82</f>
        <v>4.11765523278806</v>
      </c>
      <c r="BA85" s="8" t="n">
        <f aca="false">AZ85*(1-$C$35)+BA82</f>
        <v>4.36479576126162</v>
      </c>
      <c r="BB85" s="8" t="n">
        <f aca="false">BA85*(1-$C$35)+BB82</f>
        <v>4.62675497570283</v>
      </c>
      <c r="BC85" s="8" t="n">
        <f aca="false">BB85*(1-$C$35)+BC82</f>
        <v>4.90442316675865</v>
      </c>
      <c r="BD85" s="8" t="n">
        <f aca="false">BC85*(1-$C$35)+BD82</f>
        <v>5.19874390217618</v>
      </c>
      <c r="BE85" s="8" t="n">
        <f aca="false">BD85*(1-$C$35)+BE82</f>
        <v>5.51071724026933</v>
      </c>
      <c r="BF85" s="8" t="n">
        <f aca="false">BE85*(1-$C$35)+BF82</f>
        <v>5.84140313417255</v>
      </c>
      <c r="BG85" s="8" t="n">
        <f aca="false">BF85*(1-$C$35)+BG82</f>
        <v>6.19192503857152</v>
      </c>
      <c r="BH85" s="8" t="n">
        <f aca="false">BG85*(1-$C$35)+BH82</f>
        <v>6.5634737312726</v>
      </c>
      <c r="BI85" s="8" t="n">
        <f aca="false">BH85*(1-$C$35)+BI82</f>
        <v>6.95731136268932</v>
      </c>
      <c r="BJ85" s="8" t="n">
        <f aca="false">BI85*(1-$C$35)+BJ82</f>
        <v>7.3747757470862</v>
      </c>
      <c r="BK85" s="8" t="n">
        <f aca="false">BJ85*(1-$C$35)+BK82</f>
        <v>7.81728491023064</v>
      </c>
    </row>
    <row r="86" customFormat="false" ht="15" hidden="false" customHeight="false" outlineLevel="0" collapsed="false">
      <c r="A86" s="0" t="s">
        <v>192</v>
      </c>
      <c r="C86" s="0" t="n">
        <v>0</v>
      </c>
      <c r="D86" s="8" t="n">
        <f aca="false">C86*(1-$C$36)+D83</f>
        <v>0.018375</v>
      </c>
      <c r="E86" s="8" t="n">
        <f aca="false">D86*(1-$C$36)+E83</f>
        <v>0.0363825</v>
      </c>
      <c r="F86" s="8" t="n">
        <f aca="false">E86*(1-$C$36)+F83</f>
        <v>0.05411805</v>
      </c>
      <c r="G86" s="8" t="n">
        <f aca="false">F86*(1-$C$36)+G83</f>
        <v>0.071673525</v>
      </c>
      <c r="H86" s="8" t="n">
        <f aca="false">G86*(1-$C$36)+H83</f>
        <v>0.08913765714</v>
      </c>
      <c r="I86" s="8" t="n">
        <f aca="false">H86*(1-$C$36)+I83</f>
        <v>0.1065965395572</v>
      </c>
      <c r="J86" s="8" t="n">
        <f aca="false">I86*(1-$C$36)+J83</f>
        <v>0.124134105080328</v>
      </c>
      <c r="K86" s="8" t="n">
        <f aca="false">J86*(1-$C$36)+K83</f>
        <v>0.141832582682868</v>
      </c>
      <c r="L86" s="8" t="n">
        <f aca="false">K86*(1-$C$36)+L83</f>
        <v>0.159772934437743</v>
      </c>
      <c r="M86" s="8" t="n">
        <f aca="false">L86*(1-$C$36)+M83</f>
        <v>0.178035275554398</v>
      </c>
      <c r="N86" s="8" t="n">
        <f aca="false">M86*(1-$C$36)+N83</f>
        <v>0.196699279934021</v>
      </c>
      <c r="O86" s="8" t="n">
        <f aca="false">N86*(1-$C$36)+O83</f>
        <v>0.215844573548713</v>
      </c>
      <c r="P86" s="8" t="n">
        <f aca="false">O86*(1-$C$36)+P83</f>
        <v>0.235551117834794</v>
      </c>
      <c r="Q86" s="8" t="n">
        <f aca="false">P86*(1-$C$36)+Q83</f>
        <v>0.255899585188188</v>
      </c>
      <c r="R86" s="8" t="n">
        <f aca="false">Q86*(1-$C$36)+R83</f>
        <v>0.27697172856012</v>
      </c>
      <c r="S86" s="8" t="n">
        <f aca="false">R86*(1-$C$36)+S83</f>
        <v>0.298850747073517</v>
      </c>
      <c r="T86" s="8" t="n">
        <f aca="false">S86*(1-$C$36)+T83</f>
        <v>0.321621649513735</v>
      </c>
      <c r="U86" s="8" t="n">
        <f aca="false">T86*(1-$C$36)+U83</f>
        <v>0.345371617491102</v>
      </c>
      <c r="V86" s="8" t="n">
        <f aca="false">U86*(1-$C$36)+V83</f>
        <v>0.370190370026587</v>
      </c>
      <c r="W86" s="8" t="n">
        <f aca="false">V86*(1-$C$36)+W83</f>
        <v>0.396170531275319</v>
      </c>
      <c r="X86" s="8" t="n">
        <f aca="false">W86*(1-$C$36)+X83</f>
        <v>0.423408003075205</v>
      </c>
      <c r="Y86" s="8" t="n">
        <f aca="false">X86*(1-$C$36)+Y83</f>
        <v>0.452002343989214</v>
      </c>
      <c r="Z86" s="8" t="n">
        <f aca="false">Y86*(1-$C$36)+Z83</f>
        <v>0.482057156499704</v>
      </c>
      <c r="AA86" s="8" t="n">
        <f aca="false">Z86*(1-$C$36)+AA83</f>
        <v>0.513680484011133</v>
      </c>
      <c r="AB86" s="8" t="n">
        <f aca="false">AA86*(1-$C$36)+AB83</f>
        <v>0.546985219323532</v>
      </c>
      <c r="AC86" s="8" t="n">
        <f aca="false">AB86*(1-$C$36)+AC83</f>
        <v>0.582089526252936</v>
      </c>
      <c r="AD86" s="8" t="n">
        <f aca="false">AC86*(1-$C$36)+AD83</f>
        <v>0.619117276096505</v>
      </c>
      <c r="AE86" s="8" t="n">
        <f aca="false">AD86*(1-$C$36)+AE83</f>
        <v>0.658198500669217</v>
      </c>
      <c r="AF86" s="8" t="n">
        <f aca="false">AE86*(1-$C$36)+AF83</f>
        <v>0.699469863675737</v>
      </c>
      <c r="AG86" s="8" t="n">
        <f aca="false">AF86*(1-$C$36)+AG83</f>
        <v>0.74307515222534</v>
      </c>
      <c r="AH86" s="8" t="n">
        <f aca="false">AG86*(1-$C$36)+AH83</f>
        <v>0.789165790349594</v>
      </c>
      <c r="AI86" s="8" t="n">
        <f aca="false">AH86*(1-$C$36)+AI83</f>
        <v>0.837901376442044</v>
      </c>
      <c r="AJ86" s="8" t="n">
        <f aca="false">AI86*(1-$C$36)+AJ83</f>
        <v>0.889450246606324</v>
      </c>
      <c r="AK86" s="8" t="n">
        <f aca="false">AJ86*(1-$C$36)+AK83</f>
        <v>0.94399006597424</v>
      </c>
      <c r="AL86" s="8" t="n">
        <f aca="false">AK86*(1-$C$36)+AL83</f>
        <v>1.00170845013851</v>
      </c>
      <c r="AM86" s="8" t="n">
        <f aca="false">AL86*(1-$C$36)+AM83</f>
        <v>1.06280361893617</v>
      </c>
      <c r="AN86" s="8" t="n">
        <f aca="false">AM86*(1-$C$36)+AN83</f>
        <v>1.12748508491854</v>
      </c>
      <c r="AO86" s="8" t="n">
        <f aca="false">AN86*(1-$C$36)+AO83</f>
        <v>1.19597437895215</v>
      </c>
      <c r="AP86" s="8" t="n">
        <f aca="false">AO86*(1-$C$36)+AP83</f>
        <v>1.26850581551271</v>
      </c>
      <c r="AQ86" s="8" t="n">
        <f aca="false">AP86*(1-$C$36)+AQ83</f>
        <v>1.34532730036102</v>
      </c>
      <c r="AR86" s="8" t="n">
        <f aca="false">AQ86*(1-$C$36)+AR83</f>
        <v>1.42670118342683</v>
      </c>
      <c r="AS86" s="8" t="n">
        <f aca="false">AR86*(1-$C$36)+AS83</f>
        <v>1.51290515987305</v>
      </c>
      <c r="AT86" s="8" t="n">
        <f aca="false">AS86*(1-$C$36)+AT83</f>
        <v>1.6042332224708</v>
      </c>
      <c r="AU86" s="8" t="n">
        <f aca="false">AT86*(1-$C$36)+AU83</f>
        <v>1.70099666858398</v>
      </c>
      <c r="AV86" s="8" t="n">
        <f aca="false">AU86*(1-$C$36)+AV83</f>
        <v>1.80352516524276</v>
      </c>
      <c r="AW86" s="8" t="n">
        <f aca="false">AV86*(1-$C$36)+AW83</f>
        <v>1.91216787597757</v>
      </c>
      <c r="AX86" s="8" t="n">
        <f aca="false">AW86*(1-$C$36)+AX83</f>
        <v>2.02729465329085</v>
      </c>
      <c r="AY86" s="8" t="n">
        <f aca="false">AX86*(1-$C$36)+AY83</f>
        <v>2.14929730086255</v>
      </c>
      <c r="AZ86" s="8" t="n">
        <f aca="false">AY86*(1-$C$36)+AZ83</f>
        <v>2.27859090981862</v>
      </c>
      <c r="BA86" s="8" t="n">
        <f aca="false">AZ86*(1-$C$36)+BA83</f>
        <v>2.4156152736397</v>
      </c>
      <c r="BB86" s="8" t="n">
        <f aca="false">BA86*(1-$C$36)+BB83</f>
        <v>2.5608363865515</v>
      </c>
      <c r="BC86" s="8" t="n">
        <f aca="false">BB86*(1-$C$36)+BC83</f>
        <v>2.71474803051852</v>
      </c>
      <c r="BD86" s="8" t="n">
        <f aca="false">BC86*(1-$C$36)+BD83</f>
        <v>2.87787345626166</v>
      </c>
      <c r="BE86" s="8" t="n">
        <f aca="false">BD86*(1-$C$36)+BE83</f>
        <v>3.05076716403642</v>
      </c>
      <c r="BF86" s="8" t="n">
        <f aca="false">BE86*(1-$C$36)+BF83</f>
        <v>3.23401679024574</v>
      </c>
      <c r="BG86" s="8" t="n">
        <f aca="false">BF86*(1-$C$36)+BG83</f>
        <v>3.42824510631825</v>
      </c>
      <c r="BH86" s="8" t="n">
        <f aca="false">BG86*(1-$C$36)+BH83</f>
        <v>3.63411213666249</v>
      </c>
      <c r="BI86" s="8" t="n">
        <f aca="false">BH86*(1-$C$36)+BI83</f>
        <v>3.85231740291017</v>
      </c>
      <c r="BJ86" s="8" t="n">
        <f aca="false">BI86*(1-$C$36)+BJ83</f>
        <v>4.08360230208888</v>
      </c>
      <c r="BK86" s="8" t="n">
        <f aca="false">BJ86*(1-$C$36)+BK83</f>
        <v>4.32875262681798</v>
      </c>
    </row>
    <row r="87" customFormat="false" ht="15" hidden="false" customHeight="false" outlineLevel="0" collapsed="false">
      <c r="A87" s="0" t="s">
        <v>193</v>
      </c>
      <c r="C87" s="0" t="n">
        <v>0</v>
      </c>
      <c r="D87" s="8" t="n">
        <f aca="false">C87*(1-$C$37)+D84</f>
        <v>0.00459375</v>
      </c>
      <c r="E87" s="8" t="n">
        <f aca="false">D87*(1-$C$37)+E84</f>
        <v>0.00918749999999999</v>
      </c>
      <c r="F87" s="8" t="n">
        <f aca="false">E87*(1-$C$37)+F84</f>
        <v>0.0137977875</v>
      </c>
      <c r="G87" s="8" t="n">
        <f aca="false">F87*(1-$C$37)+G84</f>
        <v>0.01844115</v>
      </c>
      <c r="H87" s="8" t="n">
        <f aca="false">G87*(1-$C$37)+H84</f>
        <v>0.023134184535</v>
      </c>
      <c r="I87" s="8" t="n">
        <f aca="false">H87*(1-$C$37)+I84</f>
        <v>0.02789360721</v>
      </c>
      <c r="J87" s="8" t="n">
        <f aca="false">I87*(1-$C$37)+J84</f>
        <v>0.032736312949326</v>
      </c>
      <c r="K87" s="8" t="n">
        <f aca="false">J87*(1-$C$37)+K84</f>
        <v>0.037679435674608</v>
      </c>
      <c r="L87" s="8" t="n">
        <f aca="false">K87*(1-$C$37)+L84</f>
        <v>0.0427404091265075</v>
      </c>
      <c r="M87" s="8" t="n">
        <f aca="false">L87*(1-$C$37)+M84</f>
        <v>0.0479370285468357</v>
      </c>
      <c r="N87" s="8" t="n">
        <f aca="false">M87*(1-$C$37)+N84</f>
        <v>0.0532875134400193</v>
      </c>
      <c r="O87" s="8" t="n">
        <f aca="false">N87*(1-$C$37)+O84</f>
        <v>0.0588105716359715</v>
      </c>
      <c r="P87" s="8" t="n">
        <f aca="false">O87*(1-$C$37)+P84</f>
        <v>0.0645254648803078</v>
      </c>
      <c r="Q87" s="8" t="n">
        <f aca="false">P87*(1-$C$37)+Q84</f>
        <v>0.0704520761825335</v>
      </c>
      <c r="R87" s="8" t="n">
        <f aca="false">Q87*(1-$C$37)+R84</f>
        <v>0.0766109791583284</v>
      </c>
      <c r="S87" s="8" t="n">
        <f aca="false">R87*(1-$C$37)+S84</f>
        <v>0.0830235096083804</v>
      </c>
      <c r="T87" s="8" t="n">
        <f aca="false">S87*(1-$C$37)+T84</f>
        <v>0.0897118395834024</v>
      </c>
      <c r="U87" s="8" t="n">
        <f aca="false">T87*(1-$C$37)+U84</f>
        <v>0.0966990541930145</v>
      </c>
      <c r="V87" s="8" t="n">
        <f aca="false">U87*(1-$C$37)+V84</f>
        <v>0.104009231425127</v>
      </c>
      <c r="W87" s="8" t="n">
        <f aca="false">V87*(1-$C$37)+W84</f>
        <v>0.111667525252334</v>
      </c>
      <c r="X87" s="8" t="n">
        <f aca="false">W87*(1-$C$37)+X84</f>
        <v>0.119700252312672</v>
      </c>
      <c r="Y87" s="8" t="n">
        <f aca="false">X87*(1-$C$37)+Y84</f>
        <v>0.128134982463918</v>
      </c>
      <c r="Z87" s="8" t="n">
        <f aca="false">Y87*(1-$C$37)+Z84</f>
        <v>0.13700063352349</v>
      </c>
      <c r="AA87" s="8" t="n">
        <f aca="false">Z87*(1-$C$37)+AA84</f>
        <v>0.146327570519932</v>
      </c>
      <c r="AB87" s="8" t="n">
        <f aca="false">AA87*(1-$C$37)+AB84</f>
        <v>0.156147709797058</v>
      </c>
      <c r="AC87" s="8" t="n">
        <f aca="false">AB87*(1-$C$37)+AC84</f>
        <v>0.166494628328056</v>
      </c>
      <c r="AD87" s="8" t="n">
        <f aca="false">AC87*(1-$C$37)+AD84</f>
        <v>0.177403678614324</v>
      </c>
      <c r="AE87" s="8" t="n">
        <f aca="false">AD87*(1-$C$37)+AE84</f>
        <v>0.188912109562572</v>
      </c>
      <c r="AF87" s="8" t="n">
        <f aca="false">AE87*(1-$C$37)+AF84</f>
        <v>0.201059193753832</v>
      </c>
      <c r="AG87" s="8" t="n">
        <f aca="false">AF87*(1-$C$37)+AG84</f>
        <v>0.213886361539518</v>
      </c>
      <c r="AH87" s="8" t="n">
        <f aca="false">AG87*(1-$C$37)+AH84</f>
        <v>0.227437342422717</v>
      </c>
      <c r="AI87" s="8" t="n">
        <f aca="false">AH87*(1-$C$37)+AI84</f>
        <v>0.241758314207458</v>
      </c>
      <c r="AJ87" s="8" t="n">
        <f aca="false">AI87*(1-$C$37)+AJ84</f>
        <v>0.256898060424922</v>
      </c>
      <c r="AK87" s="8" t="n">
        <f aca="false">AJ87*(1-$C$37)+AK84</f>
        <v>0.272908136573532</v>
      </c>
      <c r="AL87" s="8" t="n">
        <f aca="false">AK87*(1-$C$37)+AL84</f>
        <v>0.289843045739672</v>
      </c>
      <c r="AM87" s="8" t="n">
        <f aca="false">AL87*(1-$C$37)+AM84</f>
        <v>0.307760424197476</v>
      </c>
      <c r="AN87" s="8" t="n">
        <f aca="false">AM87*(1-$C$37)+AN84</f>
        <v>0.326721237619943</v>
      </c>
      <c r="AO87" s="8" t="n">
        <f aca="false">AN87*(1-$C$37)+AO84</f>
        <v>0.346789988569522</v>
      </c>
      <c r="AP87" s="8" t="n">
        <f aca="false">AO87*(1-$C$37)+AP84</f>
        <v>0.368034935974532</v>
      </c>
      <c r="AQ87" s="8" t="n">
        <f aca="false">AP87*(1-$C$37)+AQ84</f>
        <v>0.390528327338392</v>
      </c>
      <c r="AR87" s="8" t="n">
        <f aca="false">AQ87*(1-$C$37)+AR84</f>
        <v>0.414346644471761</v>
      </c>
      <c r="AS87" s="8" t="n">
        <f aca="false">AR87*(1-$C$37)+AS84</f>
        <v>0.439570863583547</v>
      </c>
      <c r="AT87" s="8" t="n">
        <f aca="false">AS87*(1-$C$37)+AT84</f>
        <v>0.466286730615433</v>
      </c>
      <c r="AU87" s="8" t="n">
        <f aca="false">AT87*(1-$C$37)+AU84</f>
        <v>0.494585052756219</v>
      </c>
      <c r="AV87" s="8" t="n">
        <f aca="false">AU87*(1-$C$37)+AV84</f>
        <v>0.52456200712722</v>
      </c>
      <c r="AW87" s="8" t="n">
        <f aca="false">AV87*(1-$C$37)+AW84</f>
        <v>0.556319467688144</v>
      </c>
      <c r="AX87" s="8" t="n">
        <f aca="false">AW87*(1-$C$37)+AX84</f>
        <v>0.589965351474726</v>
      </c>
      <c r="AY87" s="8" t="n">
        <f aca="false">AX87*(1-$C$37)+AY84</f>
        <v>0.625613985344985</v>
      </c>
      <c r="AZ87" s="8" t="n">
        <f aca="false">AY87*(1-$C$37)+AZ84</f>
        <v>0.663386494480554</v>
      </c>
      <c r="BA87" s="8" t="n">
        <f aca="false">AZ87*(1-$C$37)+BA84</f>
        <v>0.703411213963364</v>
      </c>
      <c r="BB87" s="8" t="n">
        <f aca="false">BA87*(1-$C$37)+BB84</f>
        <v>0.745824124826304</v>
      </c>
      <c r="BC87" s="8" t="n">
        <f aca="false">BB87*(1-$C$37)+BC84</f>
        <v>0.790769316059513</v>
      </c>
      <c r="BD87" s="8" t="n">
        <f aca="false">BC87*(1-$C$37)+BD84</f>
        <v>0.838399474142096</v>
      </c>
      <c r="BE87" s="8" t="n">
        <f aca="false">BD87*(1-$C$37)+BE84</f>
        <v>0.888876401762493</v>
      </c>
      <c r="BF87" s="8" t="n">
        <f aca="false">BE87*(1-$C$37)+BF84</f>
        <v>0.942371567489802</v>
      </c>
      <c r="BG87" s="8" t="n">
        <f aca="false">BF87*(1-$C$37)+BG84</f>
        <v>0.999066688263456</v>
      </c>
      <c r="BH87" s="8" t="n">
        <f aca="false">BG87*(1-$C$37)+BH84</f>
        <v>1.05915434668007</v>
      </c>
      <c r="BI87" s="8" t="n">
        <f aca="false">BH87*(1-$C$37)+BI84</f>
        <v>1.12283864517444</v>
      </c>
      <c r="BJ87" s="8" t="n">
        <f aca="false">BI87*(1-$C$37)+BJ84</f>
        <v>1.19033589931685</v>
      </c>
      <c r="BK87" s="8" t="n">
        <f aca="false">BJ87*(1-$C$37)+BK84</f>
        <v>1.26187537258189</v>
      </c>
    </row>
    <row r="88" customFormat="false" ht="15" hidden="false" customHeight="false" outlineLevel="0" collapsed="false">
      <c r="A88" s="6" t="s">
        <v>194</v>
      </c>
      <c r="D88" s="8" t="n">
        <f aca="false">D85+D86+D87</f>
        <v>0.065625</v>
      </c>
      <c r="E88" s="8" t="n">
        <f aca="false">E85+E86+E87</f>
        <v>0.128323125</v>
      </c>
      <c r="F88" s="8" t="n">
        <f aca="false">F85+F86+F87</f>
        <v>0.18866715</v>
      </c>
      <c r="G88" s="8" t="n">
        <f aca="false">G85+G86+G87</f>
        <v>0.24718010625</v>
      </c>
      <c r="H88" s="8" t="n">
        <f aca="false">H85+H86+H87</f>
        <v>0.304341954</v>
      </c>
      <c r="I88" s="8" t="n">
        <f aca="false">I85+I86+I87</f>
        <v>0.3605955304077</v>
      </c>
      <c r="J88" s="8" t="n">
        <f aca="false">J85+J86+J87</f>
        <v>0.416351861515464</v>
      </c>
      <c r="K88" s="8" t="n">
        <f aca="false">K85+K86+K87</f>
        <v>0.471994916860089</v>
      </c>
      <c r="L88" s="8" t="n">
        <f aca="false">L85+L86+L87</f>
        <v>0.527885876175756</v>
      </c>
      <c r="M88" s="8" t="n">
        <f aca="false">M85+M86+M87</f>
        <v>0.584366969644317</v>
      </c>
      <c r="N88" s="8" t="n">
        <f aca="false">N85+N86+N87</f>
        <v>0.64176494610761</v>
      </c>
      <c r="O88" s="8" t="n">
        <f aca="false">O85+O86+O87</f>
        <v>0.700394217469221</v>
      </c>
      <c r="P88" s="8" t="n">
        <f aca="false">P85+P86+P87</f>
        <v>0.76055972207723</v>
      </c>
      <c r="Q88" s="8" t="n">
        <f aca="false">Q85+Q86+Q87</f>
        <v>0.822559545106233</v>
      </c>
      <c r="R88" s="8" t="n">
        <f aca="false">R85+R86+R87</f>
        <v>0.886687329768349</v>
      </c>
      <c r="S88" s="8" t="n">
        <f aca="false">S85+S86+S87</f>
        <v>0.953234509510219</v>
      </c>
      <c r="T88" s="8" t="n">
        <f aca="false">T85+T86+T87</f>
        <v>1.02249238813593</v>
      </c>
      <c r="U88" s="8" t="n">
        <f aca="false">U85+U86+U87</f>
        <v>1.09475409198112</v>
      </c>
      <c r="V88" s="8" t="n">
        <f aca="false">V85+V86+V87</f>
        <v>1.17031641580452</v>
      </c>
      <c r="W88" s="8" t="n">
        <f aca="false">W85+W86+W87</f>
        <v>1.24948158191904</v>
      </c>
      <c r="X88" s="8" t="n">
        <f aca="false">X85+X86+X87</f>
        <v>1.33255893021888</v>
      </c>
      <c r="Y88" s="8" t="n">
        <f aca="false">Y85+Y86+Y87</f>
        <v>1.41986655514019</v>
      </c>
      <c r="Z88" s="8" t="n">
        <f aca="false">Z85+Z86+Z87</f>
        <v>1.51173290419372</v>
      </c>
      <c r="AA88" s="8" t="n">
        <f aca="false">AA85+AA86+AA87</f>
        <v>1.60849835150261</v>
      </c>
      <c r="AB88" s="8" t="n">
        <f aca="false">AB85+AB86+AB87</f>
        <v>1.71051675874711</v>
      </c>
      <c r="AC88" s="8" t="n">
        <f aca="false">AC85+AC86+AC87</f>
        <v>1.81815703504139</v>
      </c>
      <c r="AD88" s="8" t="n">
        <f aca="false">AD85+AD86+AD87</f>
        <v>1.93180470652838</v>
      </c>
      <c r="AE88" s="8" t="n">
        <f aca="false">AE85+AE86+AE87</f>
        <v>2.05186350586438</v>
      </c>
      <c r="AF88" s="8" t="n">
        <f aca="false">AF85+AF86+AF87</f>
        <v>2.17875699126138</v>
      </c>
      <c r="AG88" s="8" t="n">
        <f aca="false">AG85+AG86+AG87</f>
        <v>2.3129302043525</v>
      </c>
      <c r="AH88" s="8" t="n">
        <f aca="false">AH85+AH86+AH87</f>
        <v>2.45485137583401</v>
      </c>
      <c r="AI88" s="8" t="n">
        <f aca="false">AI85+AI86+AI87</f>
        <v>2.60501368760906</v>
      </c>
      <c r="AJ88" s="8" t="n">
        <f aca="false">AJ85+AJ86+AJ87</f>
        <v>2.76393710000483</v>
      </c>
      <c r="AK88" s="8" t="n">
        <f aca="false">AK85+AK86+AK87</f>
        <v>2.93217025255264</v>
      </c>
      <c r="AL88" s="8" t="n">
        <f aca="false">AL85+AL86+AL87</f>
        <v>3.11029244680188</v>
      </c>
      <c r="AM88" s="8" t="n">
        <f aca="false">AM85+AM86+AM87</f>
        <v>3.29891571968107</v>
      </c>
      <c r="AN88" s="8" t="n">
        <f aca="false">AN85+AN86+AN87</f>
        <v>3.49868701601886</v>
      </c>
      <c r="AO88" s="8" t="n">
        <f aca="false">AO85+AO86+AO87</f>
        <v>3.71029046899018</v>
      </c>
      <c r="AP88" s="8" t="n">
        <f aca="false">AP85+AP86+AP87</f>
        <v>3.93444979745764</v>
      </c>
      <c r="AQ88" s="8" t="n">
        <f aca="false">AQ85+AQ86+AQ87</f>
        <v>4.17193082943216</v>
      </c>
      <c r="AR88" s="8" t="n">
        <f aca="false">AR85+AR86+AR87</f>
        <v>4.42354416117894</v>
      </c>
      <c r="AS88" s="8" t="n">
        <f aca="false">AS85+AS86+AS87</f>
        <v>4.69014796184416</v>
      </c>
      <c r="AT88" s="8" t="n">
        <f aca="false">AT85+AT86+AT87</f>
        <v>4.9726509338742</v>
      </c>
      <c r="AU88" s="8" t="n">
        <f aca="false">AU85+AU86+AU87</f>
        <v>5.27201543994094</v>
      </c>
      <c r="AV88" s="8" t="n">
        <f aca="false">AV85+AV86+AV87</f>
        <v>5.5892608075764</v>
      </c>
      <c r="AW88" s="8" t="n">
        <f aca="false">AW85+AW86+AW87</f>
        <v>5.92546682325539</v>
      </c>
      <c r="AX88" s="8" t="n">
        <f aca="false">AX85+AX86+AX87</f>
        <v>6.281777428249</v>
      </c>
      <c r="AY88" s="8" t="n">
        <f aca="false">AY85+AY86+AY87</f>
        <v>6.65940462920414</v>
      </c>
      <c r="AZ88" s="8" t="n">
        <f aca="false">AZ85+AZ86+AZ87</f>
        <v>7.05963263708724</v>
      </c>
      <c r="BA88" s="8" t="n">
        <f aca="false">BA85+BA86+BA87</f>
        <v>7.48382224886468</v>
      </c>
      <c r="BB88" s="8" t="n">
        <f aca="false">BB85+BB86+BB87</f>
        <v>7.93341548708063</v>
      </c>
      <c r="BC88" s="8" t="n">
        <f aca="false">BC85+BC86+BC87</f>
        <v>8.40994051333668</v>
      </c>
      <c r="BD88" s="8" t="n">
        <f aca="false">BD85+BD86+BD87</f>
        <v>8.91501683257994</v>
      </c>
      <c r="BE88" s="8" t="n">
        <f aca="false">BE85+BE86+BE87</f>
        <v>9.45036080606824</v>
      </c>
      <c r="BF88" s="8" t="n">
        <f aca="false">BF85+BF86+BF87</f>
        <v>10.0177914919081</v>
      </c>
      <c r="BG88" s="8" t="n">
        <f aca="false">BG85+BG86+BG87</f>
        <v>10.6192368331532</v>
      </c>
      <c r="BH88" s="8" t="n">
        <f aca="false">BH85+BH86+BH87</f>
        <v>11.2567402146152</v>
      </c>
      <c r="BI88" s="8" t="n">
        <f aca="false">BI85+BI86+BI87</f>
        <v>11.9324674107739</v>
      </c>
      <c r="BJ88" s="8" t="n">
        <f aca="false">BJ85+BJ86+BJ87</f>
        <v>12.6487139484919</v>
      </c>
      <c r="BK88" s="8" t="n">
        <f aca="false">BK85+BK86+BK87</f>
        <v>13.4079129096305</v>
      </c>
    </row>
    <row r="89" customFormat="false" ht="15" hidden="false" customHeight="false" outlineLevel="0" collapsed="false">
      <c r="A89" s="0" t="s">
        <v>195</v>
      </c>
      <c r="D89" s="8" t="n">
        <f aca="false">C85*$C$35+C86*$C$36+C87*$C$37</f>
        <v>0</v>
      </c>
      <c r="E89" s="8" t="n">
        <f aca="false">D85*$C$35+D86*$C$36+D87*$C$37</f>
        <v>0.006864375</v>
      </c>
      <c r="F89" s="8" t="n">
        <f aca="false">E85*$C$35+E86*$C$36+E87*$C$37</f>
        <v>0.013392225</v>
      </c>
      <c r="G89" s="8" t="n">
        <f aca="false">F85*$C$35+F86*$C$36+F87*$C$37</f>
        <v>0.01964746875</v>
      </c>
      <c r="H89" s="8" t="n">
        <f aca="false">G85*$C$35+G86*$C$36+G87*$C$37</f>
        <v>0.02568820275</v>
      </c>
      <c r="I89" s="8" t="n">
        <f aca="false">H85*$C$35+H86*$C$36+H87*$C$37</f>
        <v>0.0315674771223</v>
      </c>
      <c r="J89" s="8" t="n">
        <f aca="false">I85*$C$35+I86*$C$36+I87*$C$37</f>
        <v>0.037333985634036</v>
      </c>
      <c r="K89" s="8" t="n">
        <f aca="false">J85*$C$35+J86*$C$36+J87*$C$37</f>
        <v>0.043032680401683</v>
      </c>
      <c r="L89" s="8" t="n">
        <f aca="false">K85*$C$35+K86*$C$36+K87*$C$37</f>
        <v>0.0487053205754195</v>
      </c>
      <c r="M89" s="8" t="n">
        <f aca="false">L85*$C$35+L86*$C$36+L87*$C$37</f>
        <v>0.0543909632159906</v>
      </c>
      <c r="N89" s="8" t="n">
        <f aca="false">M85*$C$35+M86*$C$36+M87*$C$37</f>
        <v>0.060126403622332</v>
      </c>
      <c r="O89" s="8" t="n">
        <f aca="false">N85*$C$35+N86*$C$36+N87*$C$37</f>
        <v>0.0659465715291512</v>
      </c>
      <c r="P89" s="8" t="n">
        <f aca="false">O85*$C$35+O86*$C$36+O87*$C$37</f>
        <v>0.0718848888561997</v>
      </c>
      <c r="Q89" s="8" t="n">
        <f aca="false">P85*$C$35+P86*$C$36+P87*$C$37</f>
        <v>0.0779735940430573</v>
      </c>
      <c r="R89" s="8" t="n">
        <f aca="false">Q85*$C$35+Q86*$C$36+Q87*$C$37</f>
        <v>0.0842440374342684</v>
      </c>
      <c r="S89" s="8" t="n">
        <f aca="false">R85*$C$35+R86*$C$36+R87*$C$37</f>
        <v>0.0907269516802973</v>
      </c>
      <c r="T89" s="8" t="n">
        <f aca="false">S85*$C$35+S86*$C$36+S87*$C$37</f>
        <v>0.0974527006817827</v>
      </c>
      <c r="U89" s="8" t="n">
        <f aca="false">T85*$C$35+T86*$C$36+T87*$C$37</f>
        <v>0.104451510220758</v>
      </c>
      <c r="V89" s="8" t="n">
        <f aca="false">U85*$C$35+U86*$C$36+U87*$C$37</f>
        <v>0.11175368308651</v>
      </c>
      <c r="W89" s="8" t="n">
        <f aca="false">V85*$C$35+V86*$C$36+V87*$C$37</f>
        <v>0.119389801209971</v>
      </c>
      <c r="X89" s="8" t="n">
        <f aca="false">W85*$C$35+W86*$C$36+W87*$C$37</f>
        <v>0.127390917064132</v>
      </c>
      <c r="Y89" s="8" t="n">
        <f aca="false">X85*$C$35+X86*$C$36+X87*$C$37</f>
        <v>0.135788736364497</v>
      </c>
      <c r="Z89" s="8" t="n">
        <f aca="false">Y85*$C$35+Y86*$C$36+Y87*$C$37</f>
        <v>0.144615793909419</v>
      </c>
      <c r="AA89" s="8" t="n">
        <f aca="false">Z85*$C$35+Z86*$C$36+Z87*$C$37</f>
        <v>0.153905624231849</v>
      </c>
      <c r="AB89" s="8" t="n">
        <f aca="false">AA85*$C$35+AA86*$C$36+AA87*$C$37</f>
        <v>0.163692928588672</v>
      </c>
      <c r="AC89" s="8" t="n">
        <f aca="false">AB85*$C$35+AB86*$C$36+AB87*$C$37</f>
        <v>0.174013739688889</v>
      </c>
      <c r="AD89" s="8" t="n">
        <f aca="false">AC85*$C$35+AC86*$C$36+AC87*$C$37</f>
        <v>0.184905585455166</v>
      </c>
      <c r="AE89" s="8" t="n">
        <f aca="false">AD85*$C$35+AD86*$C$36+AD87*$C$37</f>
        <v>0.196407653022686</v>
      </c>
      <c r="AF89" s="8" t="n">
        <f aca="false">AE85*$C$35+AE86*$C$36+AE87*$C$37</f>
        <v>0.208560954103203</v>
      </c>
      <c r="AG89" s="8" t="n">
        <f aca="false">AF85*$C$35+AF86*$C$36+AF87*$C$37</f>
        <v>0.221408492779107</v>
      </c>
      <c r="AH89" s="8" t="n">
        <f aca="false">AG85*$C$35+AG86*$C$36+AG87*$C$37</f>
        <v>0.234995436740915</v>
      </c>
      <c r="AI89" s="8" t="n">
        <f aca="false">AH85*$C$35+AH86*$C$36+AH87*$C$37</f>
        <v>0.249369292940735</v>
      </c>
      <c r="AJ89" s="8" t="n">
        <f aca="false">AI85*$C$35+AI86*$C$36+AI87*$C$37</f>
        <v>0.264580088602958</v>
      </c>
      <c r="AK89" s="8" t="n">
        <f aca="false">AJ85*$C$35+AJ86*$C$36+AJ87*$C$37</f>
        <v>0.280680558510831</v>
      </c>
      <c r="AL89" s="8" t="n">
        <f aca="false">AK85*$C$35+AK86*$C$36+AK87*$C$37</f>
        <v>0.297726339472936</v>
      </c>
      <c r="AM89" s="8" t="n">
        <f aca="false">AL85*$C$35+AL86*$C$36+AL87*$C$37</f>
        <v>0.315776172866305</v>
      </c>
      <c r="AN89" s="8" t="n">
        <f aca="false">AM85*$C$35+AM86*$C$36+AM87*$C$37</f>
        <v>0.334892116152433</v>
      </c>
      <c r="AO89" s="8" t="n">
        <f aca="false">AN85*$C$35+AN86*$C$36+AN87*$C$37</f>
        <v>0.355139764268326</v>
      </c>
      <c r="AP89" s="8" t="n">
        <f aca="false">AO85*$C$35+AO86*$C$36+AO87*$C$37</f>
        <v>0.376588481806564</v>
      </c>
      <c r="AQ89" s="8" t="n">
        <f aca="false">AP85*$C$35+AP86*$C$36+AP87*$C$37</f>
        <v>0.399311646915936</v>
      </c>
      <c r="AR89" s="8" t="n">
        <f aca="false">AQ85*$C$35+AQ86*$C$36+AQ87*$C$37</f>
        <v>0.423386907877115</v>
      </c>
      <c r="AS89" s="8" t="n">
        <f aca="false">AR85*$C$35+AR86*$C$36+AR87*$C$37</f>
        <v>0.448896453336094</v>
      </c>
      <c r="AT89" s="8" t="n">
        <f aca="false">AS85*$C$35+AS86*$C$36+AS87*$C$37</f>
        <v>0.475927297211365</v>
      </c>
      <c r="AU89" s="8" t="n">
        <f aca="false">AT85*$C$35+AT86*$C$36+AT87*$C$37</f>
        <v>0.504571579329146</v>
      </c>
      <c r="AV89" s="8" t="n">
        <f aca="false">AU85*$C$35+AU86*$C$36+AU87*$C$37</f>
        <v>0.53492688288418</v>
      </c>
      <c r="AW89" s="8" t="n">
        <f aca="false">AV85*$C$35+AV86*$C$36+AV87*$C$37</f>
        <v>0.567096569871824</v>
      </c>
      <c r="AX89" s="8" t="n">
        <f aca="false">AW85*$C$35+AW86*$C$36+AW87*$C$37</f>
        <v>0.601190135690256</v>
      </c>
      <c r="AY89" s="8" t="n">
        <f aca="false">AX85*$C$35+AX86*$C$36+AX87*$C$37</f>
        <v>0.637323584169763</v>
      </c>
      <c r="AZ89" s="8" t="n">
        <f aca="false">AY85*$C$35+AY86*$C$36+AY87*$C$37</f>
        <v>0.675619824349296</v>
      </c>
      <c r="BA89" s="8" t="n">
        <f aca="false">AZ85*$C$35+AZ86*$C$36+AZ87*$C$37</f>
        <v>0.71620909038889</v>
      </c>
      <c r="BB89" s="8" t="n">
        <f aca="false">BA85*$C$35+BA86*$C$36+BA87*$C$37</f>
        <v>0.759229386080372</v>
      </c>
      <c r="BC89" s="8" t="n">
        <f aca="false">BB85*$C$35+BB86*$C$36+BB87*$C$37</f>
        <v>0.804826955498037</v>
      </c>
      <c r="BD89" s="8" t="n">
        <f aca="false">BC85*$C$35+BC86*$C$36+BC87*$C$37</f>
        <v>0.85315678141609</v>
      </c>
      <c r="BE89" s="8" t="n">
        <f aca="false">BD85*$C$35+BD86*$C$36+BD87*$C$37</f>
        <v>0.9043831132106</v>
      </c>
      <c r="BF89" s="8" t="n">
        <f aca="false">BE85*$C$35+BE86*$C$36+BE87*$C$37</f>
        <v>0.958680026060982</v>
      </c>
      <c r="BG89" s="8" t="n">
        <f aca="false">BF85*$C$35+BF86*$C$36+BF87*$C$37</f>
        <v>1.01623201336975</v>
      </c>
      <c r="BH89" s="8" t="n">
        <f aca="false">BG85*$C$35+BG86*$C$36+BG87*$C$37</f>
        <v>1.07723461442985</v>
      </c>
      <c r="BI89" s="8" t="n">
        <f aca="false">BH85*$C$35+BH86*$C$36+BH87*$C$37</f>
        <v>1.14189507948651</v>
      </c>
      <c r="BJ89" s="8" t="n">
        <f aca="false">BI85*$C$35+BI86*$C$36+BI87*$C$37</f>
        <v>1.210433074466</v>
      </c>
      <c r="BK89" s="8" t="n">
        <f aca="false">BJ85*$C$35+BJ86*$C$36+BJ87*$C$37</f>
        <v>1.28308142777647</v>
      </c>
    </row>
    <row r="90" customFormat="false" ht="15" hidden="false" customHeight="false" outlineLevel="0" collapsed="false">
      <c r="A90" s="0" t="s">
        <v>196</v>
      </c>
      <c r="D90" s="7" t="n">
        <f aca="false">D85*$C$6+D86*$C$7+D87*$C$8</f>
        <v>2.13871875</v>
      </c>
      <c r="E90" s="7" t="n">
        <f aca="false">E85*$C$6+E86*$C$7+E87*$C$8</f>
        <v>4.20974176875</v>
      </c>
      <c r="F90" s="7" t="n">
        <f aca="false">F85*$C$6+F86*$C$7+F87*$C$8</f>
        <v>6.2282305785</v>
      </c>
      <c r="G90" s="7" t="n">
        <f aca="false">G85*$C$6+G86*$C$7+G87*$C$8</f>
        <v>8.2082604489375</v>
      </c>
      <c r="H90" s="7" t="n">
        <f aca="false">H85*$C$6+H86*$C$7+H87*$C$8</f>
        <v>10.16297185176</v>
      </c>
      <c r="I90" s="7" t="n">
        <f aca="false">I85*$C$6+I86*$C$7+I87*$C$8</f>
        <v>12.1047067185799</v>
      </c>
      <c r="J90" s="7" t="n">
        <f aca="false">J85*$C$6+J86*$C$7+J87*$C$8</f>
        <v>14.0451313746484</v>
      </c>
      <c r="K90" s="7" t="n">
        <f aca="false">K85*$C$6+K86*$C$7+K87*$C$8</f>
        <v>15.9953478090735</v>
      </c>
      <c r="L90" s="7" t="n">
        <f aca="false">L85*$C$6+L86*$C$7+L87*$C$8</f>
        <v>17.9659947558175</v>
      </c>
      <c r="M90" s="7" t="n">
        <f aca="false">M85*$C$6+M86*$C$7+M87*$C$8</f>
        <v>19.9673398957967</v>
      </c>
      <c r="N90" s="7" t="n">
        <f aca="false">N85*$C$6+N86*$C$7+N87*$C$8</f>
        <v>22.0093643462432</v>
      </c>
      <c r="O90" s="7" t="n">
        <f aca="false">O85*$C$6+O86*$C$7+O87*$C$8</f>
        <v>24.1018404768053</v>
      </c>
      <c r="P90" s="7" t="n">
        <f aca="false">P85*$C$6+P86*$C$7+P87*$C$8</f>
        <v>26.2544039806183</v>
      </c>
      <c r="Q90" s="7" t="n">
        <f aca="false">Q85*$C$6+Q86*$C$7+Q87*$C$8</f>
        <v>28.476621030981</v>
      </c>
      <c r="R90" s="7" t="n">
        <f aca="false">R85*$C$6+R86*$C$7+R87*$C$8</f>
        <v>30.7780512687386</v>
      </c>
      <c r="S90" s="7" t="n">
        <f aca="false">S85*$C$6+S86*$C$7+S87*$C$8</f>
        <v>33.1683072906176</v>
      </c>
      <c r="T90" s="7" t="n">
        <f aca="false">T85*$C$6+T86*$C$7+T87*$C$8</f>
        <v>35.6571112433529</v>
      </c>
      <c r="U90" s="7" t="n">
        <f aca="false">U85*$C$6+U86*$C$7+U87*$C$8</f>
        <v>38.2543490714213</v>
      </c>
      <c r="V90" s="7" t="n">
        <f aca="false">V85*$C$6+V86*$C$7+V87*$C$8</f>
        <v>40.9701229166071</v>
      </c>
      <c r="W90" s="7" t="n">
        <f aca="false">W85*$C$6+W86*$C$7+W87*$C$8</f>
        <v>43.8148021246314</v>
      </c>
      <c r="X90" s="7" t="n">
        <f aca="false">X85*$C$6+X86*$C$7+X87*$C$8</f>
        <v>46.7990732769693</v>
      </c>
      <c r="Y90" s="7" t="n">
        <f aca="false">Y85*$C$6+Y86*$C$7+Y87*$C$8</f>
        <v>49.9339896340962</v>
      </c>
      <c r="Z90" s="7" t="n">
        <f aca="false">Z85*$C$6+Z86*$C$7+Z87*$C$8</f>
        <v>53.2310203492043</v>
      </c>
      <c r="AA90" s="7" t="n">
        <f aca="false">AA85*$C$6+AA86*$C$7+AA87*$C$8</f>
        <v>56.70209978841</v>
      </c>
      <c r="AB90" s="7" t="n">
        <f aca="false">AB85*$C$6+AB86*$C$7+AB87*$C$8</f>
        <v>60.3596772742077</v>
      </c>
      <c r="AC90" s="7" t="n">
        <f aca="false">AC85*$C$6+AC86*$C$7+AC87*$C$8</f>
        <v>64.2167675530452</v>
      </c>
      <c r="AD90" s="7" t="n">
        <f aca="false">AD85*$C$6+AD86*$C$7+AD87*$C$8</f>
        <v>68.2870022750608</v>
      </c>
      <c r="AE90" s="7" t="n">
        <f aca="false">AE85*$C$6+AE86*$C$7+AE87*$C$8</f>
        <v>72.5846827639651</v>
      </c>
      <c r="AF90" s="7" t="n">
        <f aca="false">AF85*$C$6+AF86*$C$7+AF87*$C$8</f>
        <v>77.1248343475151</v>
      </c>
      <c r="AG90" s="7" t="n">
        <f aca="false">AG85*$C$6+AG86*$C$7+AG87*$C$8</f>
        <v>81.9232625138013</v>
      </c>
      <c r="AH90" s="7" t="n">
        <f aca="false">AH85*$C$6+AH86*$C$7+AH87*$C$8</f>
        <v>86.9966111554791</v>
      </c>
      <c r="AI90" s="7" t="n">
        <f aca="false">AI85*$C$6+AI86*$C$7+AI87*$C$8</f>
        <v>92.3624231629528</v>
      </c>
      <c r="AJ90" s="7" t="n">
        <f aca="false">AJ85*$C$6+AJ86*$C$7+AJ87*$C$8</f>
        <v>98.0392036282483</v>
      </c>
      <c r="AK90" s="7" t="n">
        <f aca="false">AK85*$C$6+AK86*$C$7+AK87*$C$8</f>
        <v>104.046485923766</v>
      </c>
      <c r="AL90" s="7" t="n">
        <f aca="false">AL85*$C$6+AL86*$C$7+AL87*$C$8</f>
        <v>110.404900924206</v>
      </c>
      <c r="AM90" s="7" t="n">
        <f aca="false">AM85*$C$6+AM86*$C$7+AM87*$C$8</f>
        <v>117.136249645627</v>
      </c>
      <c r="AN90" s="7" t="n">
        <f aca="false">AN85*$C$6+AN86*$C$7+AN87*$C$8</f>
        <v>124.263579582776</v>
      </c>
      <c r="AO90" s="7" t="n">
        <f aca="false">AO85*$C$6+AO86*$C$7+AO87*$C$8</f>
        <v>131.811265034479</v>
      </c>
      <c r="AP90" s="7" t="n">
        <f aca="false">AP85*$C$6+AP86*$C$7+AP87*$C$8</f>
        <v>139.805091716958</v>
      </c>
      <c r="AQ90" s="7" t="n">
        <f aca="false">AQ85*$C$6+AQ86*$C$7+AQ87*$C$8</f>
        <v>148.272345976446</v>
      </c>
      <c r="AR90" s="7" t="n">
        <f aca="false">AR85*$C$6+AR86*$C$7+AR87*$C$8</f>
        <v>157.241908925378</v>
      </c>
      <c r="AS90" s="7" t="n">
        <f aca="false">AS85*$C$6+AS86*$C$7+AS87*$C$8</f>
        <v>166.744355840775</v>
      </c>
      <c r="AT90" s="7" t="n">
        <f aca="false">AT85*$C$6+AT86*$C$7+AT87*$C$8</f>
        <v>176.81206117915</v>
      </c>
      <c r="AU90" s="7" t="n">
        <f aca="false">AU85*$C$6+AU86*$C$7+AU87*$C$8</f>
        <v>187.479309579516</v>
      </c>
      <c r="AV90" s="7" t="n">
        <f aca="false">AV85*$C$6+AV86*$C$7+AV87*$C$8</f>
        <v>198.782413244699</v>
      </c>
      <c r="AW90" s="7" t="n">
        <f aca="false">AW85*$C$6+AW86*$C$7+AW87*$C$8</f>
        <v>210.759836111366</v>
      </c>
      <c r="AX90" s="7" t="n">
        <f aca="false">AX85*$C$6+AX86*$C$7+AX87*$C$8</f>
        <v>223.452325240947</v>
      </c>
      <c r="AY90" s="7" t="n">
        <f aca="false">AY85*$C$6+AY86*$C$7+AY87*$C$8</f>
        <v>236.903049886953</v>
      </c>
      <c r="AZ90" s="7" t="n">
        <f aca="false">AZ85*$C$6+AZ86*$C$7+AZ87*$C$8</f>
        <v>251.157748719284</v>
      </c>
      <c r="BA90" s="7" t="n">
        <f aca="false">BA85*$C$6+BA86*$C$7+BA87*$C$8</f>
        <v>266.264885712867</v>
      </c>
      <c r="BB90" s="7" t="n">
        <f aca="false">BB85*$C$6+BB86*$C$7+BB87*$C$8</f>
        <v>282.275815236633</v>
      </c>
      <c r="BC90" s="7" t="n">
        <f aca="false">BC85*$C$6+BC86*$C$7+BC87*$C$8</f>
        <v>299.244956909324</v>
      </c>
      <c r="BD90" s="7" t="n">
        <f aca="false">BD85*$C$6+BD86*$C$7+BD87*$C$8</f>
        <v>317.229980821182</v>
      </c>
      <c r="BE90" s="7" t="n">
        <f aca="false">BE85*$C$6+BE86*$C$7+BE87*$C$8</f>
        <v>336.292003755214</v>
      </c>
      <c r="BF90" s="7" t="n">
        <f aca="false">BF85*$C$6+BF86*$C$7+BF87*$C$8</f>
        <v>356.49579707857</v>
      </c>
      <c r="BG90" s="7" t="n">
        <f aca="false">BG85*$C$6+BG86*$C$7+BG87*$C$8</f>
        <v>377.910007013766</v>
      </c>
      <c r="BH90" s="7" t="n">
        <f aca="false">BH85*$C$6+BH86*$C$7+BH87*$C$8</f>
        <v>400.607388041125</v>
      </c>
      <c r="BI90" s="7" t="n">
        <f aca="false">BI85*$C$6+BI86*$C$7+BI87*$C$8</f>
        <v>424.66505022808</v>
      </c>
      <c r="BJ90" s="7" t="n">
        <f aca="false">BJ85*$C$6+BJ86*$C$7+BJ87*$C$8</f>
        <v>450.164721327924</v>
      </c>
      <c r="BK90" s="7" t="n">
        <f aca="false">BK85*$C$6+BK86*$C$7+BK87*$C$8</f>
        <v>477.193024540515</v>
      </c>
    </row>
    <row r="91" customFormat="false" ht="15" hidden="false" customHeight="false" outlineLevel="0" collapsed="false">
      <c r="A91" s="6" t="s">
        <v>197</v>
      </c>
      <c r="D91" s="7" t="n">
        <f aca="false">D90*(1+$C$38)</f>
        <v>2.13871875</v>
      </c>
      <c r="E91" s="7" t="n">
        <f aca="false">E90*(1+$C$38)</f>
        <v>4.20974176875</v>
      </c>
      <c r="F91" s="7" t="n">
        <f aca="false">F90*(1+$C$38)</f>
        <v>6.2282305785</v>
      </c>
      <c r="G91" s="7" t="n">
        <f aca="false">G90*(1+$C$38)</f>
        <v>8.2082604489375</v>
      </c>
      <c r="H91" s="7" t="n">
        <f aca="false">H90*(1+$C$38)</f>
        <v>10.16297185176</v>
      </c>
      <c r="I91" s="7" t="n">
        <f aca="false">I90*(1+$C$38)</f>
        <v>12.1047067185799</v>
      </c>
      <c r="J91" s="7" t="n">
        <f aca="false">J90*(1+$C$38)</f>
        <v>14.0451313746484</v>
      </c>
      <c r="K91" s="7" t="n">
        <f aca="false">K90*(1+$C$38)</f>
        <v>15.9953478090735</v>
      </c>
      <c r="L91" s="7" t="n">
        <f aca="false">L90*(1+$C$38)</f>
        <v>17.9659947558175</v>
      </c>
      <c r="M91" s="7" t="n">
        <f aca="false">M90*(1+$C$38)</f>
        <v>19.9673398957967</v>
      </c>
      <c r="N91" s="7" t="n">
        <f aca="false">N90*(1+$C$38)</f>
        <v>22.0093643462432</v>
      </c>
      <c r="O91" s="7" t="n">
        <f aca="false">O90*(1+$C$38)</f>
        <v>24.1018404768053</v>
      </c>
      <c r="P91" s="7" t="n">
        <f aca="false">P90*(1+$C$38)</f>
        <v>26.2544039806183</v>
      </c>
      <c r="Q91" s="7" t="n">
        <f aca="false">Q90*(1+$C$38)</f>
        <v>28.476621030981</v>
      </c>
      <c r="R91" s="7" t="n">
        <f aca="false">R90*(1+$C$38)</f>
        <v>30.7780512687386</v>
      </c>
      <c r="S91" s="7" t="n">
        <f aca="false">S90*(1+$C$38)</f>
        <v>33.1683072906176</v>
      </c>
      <c r="T91" s="7" t="n">
        <f aca="false">T90*(1+$C$38)</f>
        <v>35.6571112433529</v>
      </c>
      <c r="U91" s="7" t="n">
        <f aca="false">U90*(1+$C$38)</f>
        <v>38.2543490714213</v>
      </c>
      <c r="V91" s="7" t="n">
        <f aca="false">V90*(1+$C$38)</f>
        <v>40.9701229166071</v>
      </c>
      <c r="W91" s="7" t="n">
        <f aca="false">W90*(1+$C$38)</f>
        <v>43.8148021246314</v>
      </c>
      <c r="X91" s="7" t="n">
        <f aca="false">X90*(1+$C$38)</f>
        <v>46.7990732769693</v>
      </c>
      <c r="Y91" s="7" t="n">
        <f aca="false">Y90*(1+$C$38)</f>
        <v>49.9339896340962</v>
      </c>
      <c r="Z91" s="7" t="n">
        <f aca="false">Z90*(1+$C$38)</f>
        <v>53.2310203492043</v>
      </c>
      <c r="AA91" s="7" t="n">
        <f aca="false">AA90*(1+$C$38)</f>
        <v>56.70209978841</v>
      </c>
      <c r="AB91" s="7" t="n">
        <f aca="false">AB90*(1+$C$38)</f>
        <v>60.3596772742077</v>
      </c>
      <c r="AC91" s="7" t="n">
        <f aca="false">AC90*(1+$C$38)</f>
        <v>64.2167675530452</v>
      </c>
      <c r="AD91" s="7" t="n">
        <f aca="false">AD90*(1+$C$38)</f>
        <v>68.2870022750608</v>
      </c>
      <c r="AE91" s="7" t="n">
        <f aca="false">AE90*(1+$C$38)</f>
        <v>72.5846827639651</v>
      </c>
      <c r="AF91" s="7" t="n">
        <f aca="false">AF90*(1+$C$38)</f>
        <v>77.1248343475151</v>
      </c>
      <c r="AG91" s="7" t="n">
        <f aca="false">AG90*(1+$C$38)</f>
        <v>81.9232625138013</v>
      </c>
      <c r="AH91" s="7" t="n">
        <f aca="false">AH90*(1+$C$38)</f>
        <v>86.9966111554791</v>
      </c>
      <c r="AI91" s="7" t="n">
        <f aca="false">AI90*(1+$C$38)</f>
        <v>92.3624231629528</v>
      </c>
      <c r="AJ91" s="7" t="n">
        <f aca="false">AJ90*(1+$C$38)</f>
        <v>98.0392036282483</v>
      </c>
      <c r="AK91" s="7" t="n">
        <f aca="false">AK90*(1+$C$38)</f>
        <v>104.046485923766</v>
      </c>
      <c r="AL91" s="7" t="n">
        <f aca="false">AL90*(1+$C$38)</f>
        <v>110.404900924206</v>
      </c>
      <c r="AM91" s="7" t="n">
        <f aca="false">AM90*(1+$C$38)</f>
        <v>117.136249645627</v>
      </c>
      <c r="AN91" s="7" t="n">
        <f aca="false">AN90*(1+$C$38)</f>
        <v>124.263579582776</v>
      </c>
      <c r="AO91" s="7" t="n">
        <f aca="false">AO90*(1+$C$38)</f>
        <v>131.811265034479</v>
      </c>
      <c r="AP91" s="7" t="n">
        <f aca="false">AP90*(1+$C$38)</f>
        <v>139.805091716958</v>
      </c>
      <c r="AQ91" s="7" t="n">
        <f aca="false">AQ90*(1+$C$38)</f>
        <v>148.272345976446</v>
      </c>
      <c r="AR91" s="7" t="n">
        <f aca="false">AR90*(1+$C$38)</f>
        <v>157.241908925378</v>
      </c>
      <c r="AS91" s="7" t="n">
        <f aca="false">AS90*(1+$C$38)</f>
        <v>166.744355840775</v>
      </c>
      <c r="AT91" s="7" t="n">
        <f aca="false">AT90*(1+$C$38)</f>
        <v>176.81206117915</v>
      </c>
      <c r="AU91" s="7" t="n">
        <f aca="false">AU90*(1+$C$38)</f>
        <v>187.479309579516</v>
      </c>
      <c r="AV91" s="7" t="n">
        <f aca="false">AV90*(1+$C$38)</f>
        <v>198.782413244699</v>
      </c>
      <c r="AW91" s="7" t="n">
        <f aca="false">AW90*(1+$C$38)</f>
        <v>210.759836111366</v>
      </c>
      <c r="AX91" s="7" t="n">
        <f aca="false">AX90*(1+$C$38)</f>
        <v>223.452325240947</v>
      </c>
      <c r="AY91" s="7" t="n">
        <f aca="false">AY90*(1+$C$38)</f>
        <v>236.903049886953</v>
      </c>
      <c r="AZ91" s="7" t="n">
        <f aca="false">AZ90*(1+$C$38)</f>
        <v>251.157748719284</v>
      </c>
      <c r="BA91" s="7" t="n">
        <f aca="false">BA90*(1+$C$38)</f>
        <v>266.264885712867</v>
      </c>
      <c r="BB91" s="7" t="n">
        <f aca="false">BB90*(1+$C$38)</f>
        <v>282.275815236633</v>
      </c>
      <c r="BC91" s="7" t="n">
        <f aca="false">BC90*(1+$C$38)</f>
        <v>299.244956909324</v>
      </c>
      <c r="BD91" s="7" t="n">
        <f aca="false">BD90*(1+$C$38)</f>
        <v>317.229980821182</v>
      </c>
      <c r="BE91" s="7" t="n">
        <f aca="false">BE90*(1+$C$38)</f>
        <v>336.292003755214</v>
      </c>
      <c r="BF91" s="7" t="n">
        <f aca="false">BF90*(1+$C$38)</f>
        <v>356.49579707857</v>
      </c>
      <c r="BG91" s="7" t="n">
        <f aca="false">BG90*(1+$C$38)</f>
        <v>377.910007013766</v>
      </c>
      <c r="BH91" s="7" t="n">
        <f aca="false">BH90*(1+$C$38)</f>
        <v>400.607388041125</v>
      </c>
      <c r="BI91" s="7" t="n">
        <f aca="false">BI90*(1+$C$38)</f>
        <v>424.66505022808</v>
      </c>
      <c r="BJ91" s="7" t="n">
        <f aca="false">BJ90*(1+$C$38)</f>
        <v>450.164721327924</v>
      </c>
      <c r="BK91" s="7" t="n">
        <f aca="false">BK90*(1+$C$38)</f>
        <v>477.193024540515</v>
      </c>
    </row>
    <row r="92" customFormat="false" ht="15" hidden="false" customHeight="false" outlineLevel="0" collapsed="false">
      <c r="A92" s="0" t="s">
        <v>198</v>
      </c>
      <c r="D92" s="7" t="n">
        <f aca="false">D91*12</f>
        <v>25.664625</v>
      </c>
      <c r="E92" s="7" t="n">
        <f aca="false">E91*12</f>
        <v>50.516901225</v>
      </c>
      <c r="F92" s="7" t="n">
        <f aca="false">F91*12</f>
        <v>74.738766942</v>
      </c>
      <c r="G92" s="7" t="n">
        <f aca="false">G91*12</f>
        <v>98.49912538725</v>
      </c>
      <c r="H92" s="7" t="n">
        <f aca="false">H91*12</f>
        <v>121.95566222112</v>
      </c>
      <c r="I92" s="7" t="n">
        <f aca="false">I91*12</f>
        <v>145.256480622959</v>
      </c>
      <c r="J92" s="7" t="n">
        <f aca="false">J91*12</f>
        <v>168.541576495781</v>
      </c>
      <c r="K92" s="7" t="n">
        <f aca="false">K91*12</f>
        <v>191.944173708882</v>
      </c>
      <c r="L92" s="7" t="n">
        <f aca="false">L91*12</f>
        <v>215.59193706981</v>
      </c>
      <c r="M92" s="7" t="n">
        <f aca="false">M91*12</f>
        <v>239.60807874956</v>
      </c>
      <c r="N92" s="7" t="n">
        <f aca="false">N91*12</f>
        <v>264.112372154918</v>
      </c>
      <c r="O92" s="7" t="n">
        <f aca="false">O91*12</f>
        <v>289.222085721663</v>
      </c>
      <c r="P92" s="7" t="n">
        <f aca="false">P91*12</f>
        <v>315.05284776742</v>
      </c>
      <c r="Q92" s="7" t="n">
        <f aca="false">Q91*12</f>
        <v>341.719452371772</v>
      </c>
      <c r="R92" s="7" t="n">
        <f aca="false">R91*12</f>
        <v>369.336615224863</v>
      </c>
      <c r="S92" s="7" t="n">
        <f aca="false">S91*12</f>
        <v>398.019687487412</v>
      </c>
      <c r="T92" s="7" t="n">
        <f aca="false">T91*12</f>
        <v>427.885334920234</v>
      </c>
      <c r="U92" s="7" t="n">
        <f aca="false">U91*12</f>
        <v>459.052188857056</v>
      </c>
      <c r="V92" s="7" t="n">
        <f aca="false">V91*12</f>
        <v>491.641474999285</v>
      </c>
      <c r="W92" s="7" t="n">
        <f aca="false">W91*12</f>
        <v>525.777625495577</v>
      </c>
      <c r="X92" s="7" t="n">
        <f aca="false">X91*12</f>
        <v>561.588879323631</v>
      </c>
      <c r="Y92" s="7" t="n">
        <f aca="false">Y91*12</f>
        <v>599.207875609154</v>
      </c>
      <c r="Z92" s="7" t="n">
        <f aca="false">Z91*12</f>
        <v>638.772244190452</v>
      </c>
      <c r="AA92" s="7" t="n">
        <f aca="false">AA91*12</f>
        <v>680.42519746092</v>
      </c>
      <c r="AB92" s="7" t="n">
        <f aca="false">AB91*12</f>
        <v>724.316127290492</v>
      </c>
      <c r="AC92" s="7" t="n">
        <f aca="false">AC91*12</f>
        <v>770.601210636543</v>
      </c>
      <c r="AD92" s="7" t="n">
        <f aca="false">AD91*12</f>
        <v>819.44402730073</v>
      </c>
      <c r="AE92" s="7" t="n">
        <f aca="false">AE91*12</f>
        <v>871.016193167582</v>
      </c>
      <c r="AF92" s="7" t="n">
        <f aca="false">AF91*12</f>
        <v>925.498012170181</v>
      </c>
      <c r="AG92" s="7" t="n">
        <f aca="false">AG91*12</f>
        <v>983.079150165616</v>
      </c>
      <c r="AH92" s="7" t="n">
        <f aca="false">AH91*12</f>
        <v>1043.95933386575</v>
      </c>
      <c r="AI92" s="7" t="n">
        <f aca="false">AI91*12</f>
        <v>1108.34907795543</v>
      </c>
      <c r="AJ92" s="7" t="n">
        <f aca="false">AJ91*12</f>
        <v>1176.47044353898</v>
      </c>
      <c r="AK92" s="7" t="n">
        <f aca="false">AK91*12</f>
        <v>1248.55783108519</v>
      </c>
      <c r="AL92" s="7" t="n">
        <f aca="false">AL91*12</f>
        <v>1324.85881109047</v>
      </c>
      <c r="AM92" s="7" t="n">
        <f aca="false">AM91*12</f>
        <v>1405.63499574752</v>
      </c>
      <c r="AN92" s="7" t="n">
        <f aca="false">AN91*12</f>
        <v>1491.16295499331</v>
      </c>
      <c r="AO92" s="7" t="n">
        <f aca="false">AO91*12</f>
        <v>1581.73518041375</v>
      </c>
      <c r="AP92" s="7" t="n">
        <f aca="false">AP91*12</f>
        <v>1677.6611006035</v>
      </c>
      <c r="AQ92" s="7" t="n">
        <f aca="false">AQ91*12</f>
        <v>1779.26815171735</v>
      </c>
      <c r="AR92" s="7" t="n">
        <f aca="false">AR91*12</f>
        <v>1886.90290710454</v>
      </c>
      <c r="AS92" s="7" t="n">
        <f aca="false">AS91*12</f>
        <v>2000.9322700893</v>
      </c>
      <c r="AT92" s="7" t="n">
        <f aca="false">AT91*12</f>
        <v>2121.7447341498</v>
      </c>
      <c r="AU92" s="7" t="n">
        <f aca="false">AU91*12</f>
        <v>2249.7517149542</v>
      </c>
      <c r="AV92" s="7" t="n">
        <f aca="false">AV91*12</f>
        <v>2385.38895893639</v>
      </c>
      <c r="AW92" s="7" t="n">
        <f aca="false">AW91*12</f>
        <v>2529.11803333639</v>
      </c>
      <c r="AX92" s="7" t="n">
        <f aca="false">AX91*12</f>
        <v>2681.42790289136</v>
      </c>
      <c r="AY92" s="7" t="n">
        <f aca="false">AY91*12</f>
        <v>2842.83659864344</v>
      </c>
      <c r="AZ92" s="7" t="n">
        <f aca="false">AZ91*12</f>
        <v>3013.8929846314</v>
      </c>
      <c r="BA92" s="7" t="n">
        <f aca="false">BA91*12</f>
        <v>3195.1786285544</v>
      </c>
      <c r="BB92" s="7" t="n">
        <f aca="false">BB91*12</f>
        <v>3387.3097828396</v>
      </c>
      <c r="BC92" s="7" t="n">
        <f aca="false">BC91*12</f>
        <v>3590.93948291189</v>
      </c>
      <c r="BD92" s="7" t="n">
        <f aca="false">BD91*12</f>
        <v>3806.75976985418</v>
      </c>
      <c r="BE92" s="7" t="n">
        <f aca="false">BE91*12</f>
        <v>4035.50404506257</v>
      </c>
      <c r="BF92" s="7" t="n">
        <f aca="false">BF91*12</f>
        <v>4277.94956494284</v>
      </c>
      <c r="BG92" s="7" t="n">
        <f aca="false">BG91*12</f>
        <v>4534.92008416519</v>
      </c>
      <c r="BH92" s="7" t="n">
        <f aca="false">BH91*12</f>
        <v>4807.2886564935</v>
      </c>
      <c r="BI92" s="7" t="n">
        <f aca="false">BI91*12</f>
        <v>5095.98060273696</v>
      </c>
      <c r="BJ92" s="7" t="n">
        <f aca="false">BJ91*12</f>
        <v>5401.97665593509</v>
      </c>
      <c r="BK92" s="7" t="n">
        <f aca="false">BK91*12</f>
        <v>5726.31629448618</v>
      </c>
    </row>
    <row r="93" customFormat="false" ht="15" hidden="false" customHeight="false" outlineLevel="0" collapsed="false">
      <c r="A93" s="0" t="s">
        <v>199</v>
      </c>
      <c r="D93" s="7" t="n">
        <f aca="false">(D82*$C$6+D83*$C$7+D84*$C$8)*$C$16*$C$17</f>
        <v>0.0641615625</v>
      </c>
      <c r="E93" s="7" t="n">
        <f aca="false">(E82*$C$6+E83*$C$7+E84*$C$8)*$C$16*$C$17</f>
        <v>0.06801125625</v>
      </c>
      <c r="F93" s="7" t="n">
        <f aca="false">(F82*$C$6+F83*$C$7+F84*$C$8)*$C$16*$C$17</f>
        <v>0.072091931625</v>
      </c>
      <c r="G93" s="7" t="n">
        <f aca="false">(G82*$C$6+G83*$C$7+G84*$C$8)*$C$16*$C$17</f>
        <v>0.0764174475225</v>
      </c>
      <c r="H93" s="7" t="n">
        <f aca="false">(H82*$C$6+H83*$C$7+H84*$C$8)*$C$16*$C$17</f>
        <v>0.08100249437385</v>
      </c>
      <c r="I93" s="7" t="n">
        <f aca="false">(I82*$C$6+I83*$C$7+I84*$C$8)*$C$16*$C$17</f>
        <v>0.085862644036281</v>
      </c>
      <c r="J93" s="7" t="n">
        <f aca="false">(J82*$C$6+J83*$C$7+J84*$C$8)*$C$16*$C$17</f>
        <v>0.0910144026784579</v>
      </c>
      <c r="K93" s="7" t="n">
        <f aca="false">(K82*$C$6+K83*$C$7+K84*$C$8)*$C$16*$C$17</f>
        <v>0.0964752668391653</v>
      </c>
      <c r="L93" s="7" t="n">
        <f aca="false">(L82*$C$6+L83*$C$7+L84*$C$8)*$C$16*$C$17</f>
        <v>0.102263782849515</v>
      </c>
      <c r="M93" s="7" t="n">
        <f aca="false">(M82*$C$6+M83*$C$7+M84*$C$8)*$C$16*$C$17</f>
        <v>0.108399609820486</v>
      </c>
      <c r="N93" s="7" t="n">
        <f aca="false">(N82*$C$6+N83*$C$7+N84*$C$8)*$C$16*$C$17</f>
        <v>0.114903586409715</v>
      </c>
      <c r="O93" s="7" t="n">
        <f aca="false">(O82*$C$6+O83*$C$7+O84*$C$8)*$C$16*$C$17</f>
        <v>0.121797801594298</v>
      </c>
      <c r="P93" s="7" t="n">
        <f aca="false">(P82*$C$6+P83*$C$7+P84*$C$8)*$C$16*$C$17</f>
        <v>0.129105669689956</v>
      </c>
      <c r="Q93" s="7" t="n">
        <f aca="false">(Q82*$C$6+Q83*$C$7+Q84*$C$8)*$C$16*$C$17</f>
        <v>0.136852009871354</v>
      </c>
      <c r="R93" s="7" t="n">
        <f aca="false">(R82*$C$6+R83*$C$7+R84*$C$8)*$C$16*$C$17</f>
        <v>0.145063130463635</v>
      </c>
      <c r="S93" s="7" t="n">
        <f aca="false">(S82*$C$6+S83*$C$7+S84*$C$8)*$C$16*$C$17</f>
        <v>0.153766918291453</v>
      </c>
      <c r="T93" s="7" t="n">
        <f aca="false">(T82*$C$6+T83*$C$7+T84*$C$8)*$C$16*$C$17</f>
        <v>0.16299293338894</v>
      </c>
      <c r="U93" s="7" t="n">
        <f aca="false">(U82*$C$6+U83*$C$7+U84*$C$8)*$C$16*$C$17</f>
        <v>0.172772509392277</v>
      </c>
      <c r="V93" s="7" t="n">
        <f aca="false">(V82*$C$6+V83*$C$7+V84*$C$8)*$C$16*$C$17</f>
        <v>0.183138859955813</v>
      </c>
      <c r="W93" s="7" t="n">
        <f aca="false">(W82*$C$6+W83*$C$7+W84*$C$8)*$C$16*$C$17</f>
        <v>0.194127191553162</v>
      </c>
      <c r="X93" s="7" t="n">
        <f aca="false">(X82*$C$6+X83*$C$7+X84*$C$8)*$C$16*$C$17</f>
        <v>0.205774823046352</v>
      </c>
      <c r="Y93" s="7" t="n">
        <f aca="false">(Y82*$C$6+Y83*$C$7+Y84*$C$8)*$C$16*$C$17</f>
        <v>0.218121312429133</v>
      </c>
      <c r="Z93" s="7" t="n">
        <f aca="false">(Z82*$C$6+Z83*$C$7+Z84*$C$8)*$C$16*$C$17</f>
        <v>0.231208591174881</v>
      </c>
      <c r="AA93" s="7" t="n">
        <f aca="false">(AA82*$C$6+AA83*$C$7+AA84*$C$8)*$C$16*$C$17</f>
        <v>0.245081106645374</v>
      </c>
      <c r="AB93" s="7" t="n">
        <f aca="false">(AB82*$C$6+AB83*$C$7+AB84*$C$8)*$C$16*$C$17</f>
        <v>0.259785973044096</v>
      </c>
      <c r="AC93" s="7" t="n">
        <f aca="false">(AC82*$C$6+AC83*$C$7+AC84*$C$8)*$C$16*$C$17</f>
        <v>0.275373131426742</v>
      </c>
      <c r="AD93" s="7" t="n">
        <f aca="false">(AD82*$C$6+AD83*$C$7+AD84*$C$8)*$C$16*$C$17</f>
        <v>0.291895519312346</v>
      </c>
      <c r="AE93" s="7" t="n">
        <f aca="false">(AE82*$C$6+AE83*$C$7+AE84*$C$8)*$C$16*$C$17</f>
        <v>0.309409250471087</v>
      </c>
      <c r="AF93" s="7" t="n">
        <f aca="false">(AF82*$C$6+AF83*$C$7+AF84*$C$8)*$C$16*$C$17</f>
        <v>0.327973805499352</v>
      </c>
      <c r="AG93" s="7" t="n">
        <f aca="false">(AG82*$C$6+AG83*$C$7+AG84*$C$8)*$C$16*$C$17</f>
        <v>0.347652233829314</v>
      </c>
      <c r="AH93" s="7" t="n">
        <f aca="false">(AH82*$C$6+AH83*$C$7+AH84*$C$8)*$C$16*$C$17</f>
        <v>0.368511367859072</v>
      </c>
      <c r="AI93" s="7" t="n">
        <f aca="false">(AI82*$C$6+AI83*$C$7+AI84*$C$8)*$C$16*$C$17</f>
        <v>0.390622049930617</v>
      </c>
      <c r="AJ93" s="7" t="n">
        <f aca="false">(AJ82*$C$6+AJ83*$C$7+AJ84*$C$8)*$C$16*$C$17</f>
        <v>0.414059372926454</v>
      </c>
      <c r="AK93" s="7" t="n">
        <f aca="false">(AK82*$C$6+AK83*$C$7+AK84*$C$8)*$C$16*$C$17</f>
        <v>0.438902935302041</v>
      </c>
      <c r="AL93" s="7" t="n">
        <f aca="false">(AL82*$C$6+AL83*$C$7+AL84*$C$8)*$C$16*$C$17</f>
        <v>0.465237111420163</v>
      </c>
      <c r="AM93" s="7" t="n">
        <f aca="false">(AM82*$C$6+AM83*$C$7+AM84*$C$8)*$C$16*$C$17</f>
        <v>0.493151338105373</v>
      </c>
      <c r="AN93" s="7" t="n">
        <f aca="false">(AN82*$C$6+AN83*$C$7+AN84*$C$8)*$C$16*$C$17</f>
        <v>0.522740418391696</v>
      </c>
      <c r="AO93" s="7" t="n">
        <f aca="false">(AO82*$C$6+AO83*$C$7+AO84*$C$8)*$C$16*$C$17</f>
        <v>0.554104843495197</v>
      </c>
      <c r="AP93" s="7" t="n">
        <f aca="false">(AP82*$C$6+AP83*$C$7+AP84*$C$8)*$C$16*$C$17</f>
        <v>0.587351134104909</v>
      </c>
      <c r="AQ93" s="7" t="n">
        <f aca="false">(AQ82*$C$6+AQ83*$C$7+AQ84*$C$8)*$C$16*$C$17</f>
        <v>0.622592202151204</v>
      </c>
      <c r="AR93" s="7" t="n">
        <f aca="false">(AR82*$C$6+AR83*$C$7+AR84*$C$8)*$C$16*$C$17</f>
        <v>0.659947734280276</v>
      </c>
      <c r="AS93" s="7" t="n">
        <f aca="false">(AS82*$C$6+AS83*$C$7+AS84*$C$8)*$C$16*$C$17</f>
        <v>0.699544598337093</v>
      </c>
      <c r="AT93" s="7" t="n">
        <f aca="false">(AT82*$C$6+AT83*$C$7+AT84*$C$8)*$C$16*$C$17</f>
        <v>0.741517274237318</v>
      </c>
      <c r="AU93" s="7" t="n">
        <f aca="false">(AU82*$C$6+AU83*$C$7+AU84*$C$8)*$C$16*$C$17</f>
        <v>0.786008310691558</v>
      </c>
      <c r="AV93" s="7" t="n">
        <f aca="false">(AV82*$C$6+AV83*$C$7+AV84*$C$8)*$C$16*$C$17</f>
        <v>0.833168809333051</v>
      </c>
      <c r="AW93" s="7" t="n">
        <f aca="false">(AW82*$C$6+AW83*$C$7+AW84*$C$8)*$C$16*$C$17</f>
        <v>0.883158937893034</v>
      </c>
      <c r="AX93" s="7" t="n">
        <f aca="false">(AX82*$C$6+AX83*$C$7+AX84*$C$8)*$C$16*$C$17</f>
        <v>0.936148474166616</v>
      </c>
      <c r="AY93" s="7" t="n">
        <f aca="false">(AY82*$C$6+AY83*$C$7+AY84*$C$8)*$C$16*$C$17</f>
        <v>0.992317382616613</v>
      </c>
      <c r="AZ93" s="7" t="n">
        <f aca="false">(AZ82*$C$6+AZ83*$C$7+AZ84*$C$8)*$C$16*$C$17</f>
        <v>1.05185642557361</v>
      </c>
      <c r="BA93" s="7" t="n">
        <f aca="false">(BA82*$C$6+BA83*$C$7+BA84*$C$8)*$C$16*$C$17</f>
        <v>1.11496781110803</v>
      </c>
      <c r="BB93" s="7" t="n">
        <f aca="false">(BB82*$C$6+BB83*$C$7+BB84*$C$8)*$C$16*$C$17</f>
        <v>1.18186587977451</v>
      </c>
      <c r="BC93" s="7" t="n">
        <f aca="false">(BC82*$C$6+BC83*$C$7+BC84*$C$8)*$C$16*$C$17</f>
        <v>1.25277783256098</v>
      </c>
      <c r="BD93" s="7" t="n">
        <f aca="false">(BD82*$C$6+BD83*$C$7+BD84*$C$8)*$C$16*$C$17</f>
        <v>1.32794450251464</v>
      </c>
      <c r="BE93" s="7" t="n">
        <f aca="false">(BE82*$C$6+BE83*$C$7+BE84*$C$8)*$C$16*$C$17</f>
        <v>1.40762117266552</v>
      </c>
      <c r="BF93" s="7" t="n">
        <f aca="false">(BF82*$C$6+BF83*$C$7+BF84*$C$8)*$C$16*$C$17</f>
        <v>1.49207844302545</v>
      </c>
      <c r="BG93" s="7" t="n">
        <f aca="false">(BG82*$C$6+BG83*$C$7+BG84*$C$8)*$C$16*$C$17</f>
        <v>1.58160314960697</v>
      </c>
      <c r="BH93" s="7" t="n">
        <f aca="false">(BH82*$C$6+BH83*$C$7+BH84*$C$8)*$C$16*$C$17</f>
        <v>1.67649933858339</v>
      </c>
      <c r="BI93" s="7" t="n">
        <f aca="false">(BI82*$C$6+BI83*$C$7+BI84*$C$8)*$C$16*$C$17</f>
        <v>1.7770892988984</v>
      </c>
      <c r="BJ93" s="7" t="n">
        <f aca="false">(BJ82*$C$6+BJ83*$C$7+BJ84*$C$8)*$C$16*$C$17</f>
        <v>1.8837146568323</v>
      </c>
      <c r="BK93" s="7" t="n">
        <f aca="false">(BK82*$C$6+BK83*$C$7+BK84*$C$8)*$C$16*$C$17</f>
        <v>1.99673753624224</v>
      </c>
    </row>
    <row r="94" customFormat="false" ht="15" hidden="false" customHeight="false" outlineLevel="0" collapsed="false">
      <c r="A94" s="0" t="s">
        <v>200</v>
      </c>
      <c r="D94" s="7" t="n">
        <f aca="false">D91-D93</f>
        <v>2.0745571875</v>
      </c>
      <c r="E94" s="7" t="n">
        <f aca="false">E91-E93</f>
        <v>4.1417305125</v>
      </c>
      <c r="F94" s="7" t="n">
        <f aca="false">F91-F93</f>
        <v>6.156138646875</v>
      </c>
      <c r="G94" s="7" t="n">
        <f aca="false">G91-G93</f>
        <v>8.131843001415</v>
      </c>
      <c r="H94" s="7" t="n">
        <f aca="false">H91-H93</f>
        <v>10.0819693573861</v>
      </c>
      <c r="I94" s="7" t="n">
        <f aca="false">I91-I93</f>
        <v>12.0188440745436</v>
      </c>
      <c r="J94" s="7" t="n">
        <f aca="false">J91-J93</f>
        <v>13.9541169719699</v>
      </c>
      <c r="K94" s="7" t="n">
        <f aca="false">K91-K93</f>
        <v>15.8988725422344</v>
      </c>
      <c r="L94" s="7" t="n">
        <f aca="false">L91-L93</f>
        <v>17.863730972968</v>
      </c>
      <c r="M94" s="7" t="n">
        <f aca="false">M91-M93</f>
        <v>19.8589402859762</v>
      </c>
      <c r="N94" s="7" t="n">
        <f aca="false">N91-N93</f>
        <v>21.8944607598335</v>
      </c>
      <c r="O94" s="7" t="n">
        <f aca="false">O91-O93</f>
        <v>23.980042675211</v>
      </c>
      <c r="P94" s="7" t="n">
        <f aca="false">P91-P93</f>
        <v>26.1252983109283</v>
      </c>
      <c r="Q94" s="7" t="n">
        <f aca="false">Q91-Q93</f>
        <v>28.3397690211096</v>
      </c>
      <c r="R94" s="7" t="n">
        <f aca="false">R91-R93</f>
        <v>30.6329881382749</v>
      </c>
      <c r="S94" s="7" t="n">
        <f aca="false">S91-S93</f>
        <v>33.0145403723262</v>
      </c>
      <c r="T94" s="7" t="n">
        <f aca="false">T91-T93</f>
        <v>35.4941183099639</v>
      </c>
      <c r="U94" s="7" t="n">
        <f aca="false">U91-U93</f>
        <v>38.0815765620291</v>
      </c>
      <c r="V94" s="7" t="n">
        <f aca="false">V91-V93</f>
        <v>40.7869840566513</v>
      </c>
      <c r="W94" s="7" t="n">
        <f aca="false">W91-W93</f>
        <v>43.6206749330782</v>
      </c>
      <c r="X94" s="7" t="n">
        <f aca="false">X91-X93</f>
        <v>46.5932984539229</v>
      </c>
      <c r="Y94" s="7" t="n">
        <f aca="false">Y91-Y93</f>
        <v>49.715868321667</v>
      </c>
      <c r="Z94" s="7" t="n">
        <f aca="false">Z91-Z93</f>
        <v>52.9998117580294</v>
      </c>
      <c r="AA94" s="7" t="n">
        <f aca="false">AA91-AA93</f>
        <v>56.4570186817646</v>
      </c>
      <c r="AB94" s="7" t="n">
        <f aca="false">AB91-AB93</f>
        <v>60.0998913011636</v>
      </c>
      <c r="AC94" s="7" t="n">
        <f aca="false">AC91-AC93</f>
        <v>63.9413944216185</v>
      </c>
      <c r="AD94" s="7" t="n">
        <f aca="false">AD91-AD93</f>
        <v>67.9951067557485</v>
      </c>
      <c r="AE94" s="7" t="n">
        <f aca="false">AE91-AE93</f>
        <v>72.275273513494</v>
      </c>
      <c r="AF94" s="7" t="n">
        <f aca="false">AF91-AF93</f>
        <v>76.7968605420157</v>
      </c>
      <c r="AG94" s="7" t="n">
        <f aca="false">AG91-AG93</f>
        <v>81.575610279972</v>
      </c>
      <c r="AH94" s="7" t="n">
        <f aca="false">AH91-AH93</f>
        <v>86.6280997876201</v>
      </c>
      <c r="AI94" s="7" t="n">
        <f aca="false">AI91-AI93</f>
        <v>91.9718011130222</v>
      </c>
      <c r="AJ94" s="7" t="n">
        <f aca="false">AJ91-AJ93</f>
        <v>97.6251442553218</v>
      </c>
      <c r="AK94" s="7" t="n">
        <f aca="false">AK91-AK93</f>
        <v>103.607582988464</v>
      </c>
      <c r="AL94" s="7" t="n">
        <f aca="false">AL91-AL93</f>
        <v>109.939663812786</v>
      </c>
      <c r="AM94" s="7" t="n">
        <f aca="false">AM91-AM93</f>
        <v>116.643098307521</v>
      </c>
      <c r="AN94" s="7" t="n">
        <f aca="false">AN91-AN93</f>
        <v>123.740839164384</v>
      </c>
      <c r="AO94" s="7" t="n">
        <f aca="false">AO91-AO93</f>
        <v>131.257160190984</v>
      </c>
      <c r="AP94" s="7" t="n">
        <f aca="false">AP91-AP93</f>
        <v>139.217740582853</v>
      </c>
      <c r="AQ94" s="7" t="n">
        <f aca="false">AQ91-AQ93</f>
        <v>147.649753774295</v>
      </c>
      <c r="AR94" s="7" t="n">
        <f aca="false">AR91-AR93</f>
        <v>156.581961191098</v>
      </c>
      <c r="AS94" s="7" t="n">
        <f aca="false">AS91-AS93</f>
        <v>166.044811242438</v>
      </c>
      <c r="AT94" s="7" t="n">
        <f aca="false">AT91-AT93</f>
        <v>176.070543904913</v>
      </c>
      <c r="AU94" s="7" t="n">
        <f aca="false">AU91-AU93</f>
        <v>186.693301268825</v>
      </c>
      <c r="AV94" s="7" t="n">
        <f aca="false">AV91-AV93</f>
        <v>197.949244435366</v>
      </c>
      <c r="AW94" s="7" t="n">
        <f aca="false">AW91-AW93</f>
        <v>209.876677173473</v>
      </c>
      <c r="AX94" s="7" t="n">
        <f aca="false">AX91-AX93</f>
        <v>222.51617676678</v>
      </c>
      <c r="AY94" s="7" t="n">
        <f aca="false">AY91-AY93</f>
        <v>235.910732504337</v>
      </c>
      <c r="AZ94" s="7" t="n">
        <f aca="false">AZ91-AZ93</f>
        <v>250.10589229371</v>
      </c>
      <c r="BA94" s="7" t="n">
        <f aca="false">BA91-BA93</f>
        <v>265.149917901759</v>
      </c>
      <c r="BB94" s="7" t="n">
        <f aca="false">BB91-BB93</f>
        <v>281.093949356859</v>
      </c>
      <c r="BC94" s="7" t="n">
        <f aca="false">BC91-BC93</f>
        <v>297.992179076763</v>
      </c>
      <c r="BD94" s="7" t="n">
        <f aca="false">BD91-BD93</f>
        <v>315.902036318667</v>
      </c>
      <c r="BE94" s="7" t="n">
        <f aca="false">BE91-BE93</f>
        <v>334.884382582548</v>
      </c>
      <c r="BF94" s="7" t="n">
        <f aca="false">BF91-BF93</f>
        <v>355.003718635545</v>
      </c>
      <c r="BG94" s="7" t="n">
        <f aca="false">BG91-BG93</f>
        <v>376.328403864159</v>
      </c>
      <c r="BH94" s="7" t="n">
        <f aca="false">BH91-BH93</f>
        <v>398.930888702542</v>
      </c>
      <c r="BI94" s="7" t="n">
        <f aca="false">BI91-BI93</f>
        <v>422.887960929182</v>
      </c>
      <c r="BJ94" s="7" t="n">
        <f aca="false">BJ91-BJ93</f>
        <v>448.281006671091</v>
      </c>
      <c r="BK94" s="7" t="n">
        <f aca="false">BK91-BK93</f>
        <v>475.196287004273</v>
      </c>
    </row>
    <row r="95" customFormat="false" ht="15" hidden="false" customHeight="false" outlineLevel="0" collapsed="false">
      <c r="A95" s="0" t="s">
        <v>201</v>
      </c>
      <c r="D95" s="7" t="n">
        <f aca="false">D94*$C$15</f>
        <v>0.103727859375</v>
      </c>
      <c r="E95" s="7" t="n">
        <f aca="false">E94*$C$15</f>
        <v>0.207086525625</v>
      </c>
      <c r="F95" s="7" t="n">
        <f aca="false">F94*$C$15</f>
        <v>0.30780693234375</v>
      </c>
      <c r="G95" s="7" t="n">
        <f aca="false">G94*$C$15</f>
        <v>0.40659215007075</v>
      </c>
      <c r="H95" s="7" t="n">
        <f aca="false">H94*$C$15</f>
        <v>0.504098467869308</v>
      </c>
      <c r="I95" s="7" t="n">
        <f aca="false">I94*$C$15</f>
        <v>0.600942203727182</v>
      </c>
      <c r="J95" s="7" t="n">
        <f aca="false">J94*$C$15</f>
        <v>0.697705848598497</v>
      </c>
      <c r="K95" s="7" t="n">
        <f aca="false">K94*$C$15</f>
        <v>0.794943627111718</v>
      </c>
      <c r="L95" s="7" t="n">
        <f aca="false">L94*$C$15</f>
        <v>0.893186548648401</v>
      </c>
      <c r="M95" s="7" t="n">
        <f aca="false">M94*$C$15</f>
        <v>0.992947014298811</v>
      </c>
      <c r="N95" s="7" t="n">
        <f aca="false">N94*$C$15</f>
        <v>1.09472303799167</v>
      </c>
      <c r="O95" s="7" t="n">
        <f aca="false">O94*$C$15</f>
        <v>1.19900213376055</v>
      </c>
      <c r="P95" s="7" t="n">
        <f aca="false">P94*$C$15</f>
        <v>1.30626491554642</v>
      </c>
      <c r="Q95" s="7" t="n">
        <f aca="false">Q94*$C$15</f>
        <v>1.41698845105548</v>
      </c>
      <c r="R95" s="7" t="n">
        <f aca="false">R94*$C$15</f>
        <v>1.53164940691375</v>
      </c>
      <c r="S95" s="7" t="n">
        <f aca="false">S94*$C$15</f>
        <v>1.65072701861631</v>
      </c>
      <c r="T95" s="7" t="n">
        <f aca="false">T94*$C$15</f>
        <v>1.7747059154982</v>
      </c>
      <c r="U95" s="7" t="n">
        <f aca="false">U94*$C$15</f>
        <v>1.90407882810145</v>
      </c>
      <c r="V95" s="7" t="n">
        <f aca="false">V94*$C$15</f>
        <v>2.03934920283256</v>
      </c>
      <c r="W95" s="7" t="n">
        <f aca="false">W94*$C$15</f>
        <v>2.18103374665391</v>
      </c>
      <c r="X95" s="7" t="n">
        <f aca="false">X94*$C$15</f>
        <v>2.32966492269615</v>
      </c>
      <c r="Y95" s="7" t="n">
        <f aca="false">Y94*$C$15</f>
        <v>2.48579341608335</v>
      </c>
      <c r="Z95" s="7" t="n">
        <f aca="false">Z94*$C$15</f>
        <v>2.64999058790147</v>
      </c>
      <c r="AA95" s="7" t="n">
        <f aca="false">AA94*$C$15</f>
        <v>2.82285093408823</v>
      </c>
      <c r="AB95" s="7" t="n">
        <f aca="false">AB94*$C$15</f>
        <v>3.00499456505818</v>
      </c>
      <c r="AC95" s="7" t="n">
        <f aca="false">AC94*$C$15</f>
        <v>3.19706972108093</v>
      </c>
      <c r="AD95" s="7" t="n">
        <f aca="false">AD94*$C$15</f>
        <v>3.39975533778742</v>
      </c>
      <c r="AE95" s="7" t="n">
        <f aca="false">AE94*$C$15</f>
        <v>3.6137636756747</v>
      </c>
      <c r="AF95" s="7" t="n">
        <f aca="false">AF94*$C$15</f>
        <v>3.83984302710079</v>
      </c>
      <c r="AG95" s="7" t="n">
        <f aca="false">AG94*$C$15</f>
        <v>4.0787805139986</v>
      </c>
      <c r="AH95" s="7" t="n">
        <f aca="false">AH94*$C$15</f>
        <v>4.331404989381</v>
      </c>
      <c r="AI95" s="7" t="n">
        <f aca="false">AI94*$C$15</f>
        <v>4.59859005565111</v>
      </c>
      <c r="AJ95" s="7" t="n">
        <f aca="false">AJ94*$C$15</f>
        <v>4.88125721276609</v>
      </c>
      <c r="AK95" s="7" t="n">
        <f aca="false">AK94*$C$15</f>
        <v>5.18037914942319</v>
      </c>
      <c r="AL95" s="7" t="n">
        <f aca="false">AL94*$C$15</f>
        <v>5.49698319063929</v>
      </c>
      <c r="AM95" s="7" t="n">
        <f aca="false">AM94*$C$15</f>
        <v>5.83215491537607</v>
      </c>
      <c r="AN95" s="7" t="n">
        <f aca="false">AN94*$C$15</f>
        <v>6.18704195821922</v>
      </c>
      <c r="AO95" s="7" t="n">
        <f aca="false">AO94*$C$15</f>
        <v>6.5628580095492</v>
      </c>
      <c r="AP95" s="7" t="n">
        <f aca="false">AP94*$C$15</f>
        <v>6.96088702914267</v>
      </c>
      <c r="AQ95" s="7" t="n">
        <f aca="false">AQ94*$C$15</f>
        <v>7.38248768871473</v>
      </c>
      <c r="AR95" s="7" t="n">
        <f aca="false">AR94*$C$15</f>
        <v>7.82909805955491</v>
      </c>
      <c r="AS95" s="7" t="n">
        <f aca="false">AS94*$C$15</f>
        <v>8.30224056212189</v>
      </c>
      <c r="AT95" s="7" t="n">
        <f aca="false">AT94*$C$15</f>
        <v>8.80352719524563</v>
      </c>
      <c r="AU95" s="7" t="n">
        <f aca="false">AU94*$C$15</f>
        <v>9.33466506344125</v>
      </c>
      <c r="AV95" s="7" t="n">
        <f aca="false">AV94*$C$15</f>
        <v>9.8974622217683</v>
      </c>
      <c r="AW95" s="7" t="n">
        <f aca="false">AW94*$C$15</f>
        <v>10.4938338586737</v>
      </c>
      <c r="AX95" s="7" t="n">
        <f aca="false">AX94*$C$15</f>
        <v>11.125808838339</v>
      </c>
      <c r="AY95" s="7" t="n">
        <f aca="false">AY94*$C$15</f>
        <v>11.7955366252168</v>
      </c>
      <c r="AZ95" s="7" t="n">
        <f aca="false">AZ94*$C$15</f>
        <v>12.5052946146855</v>
      </c>
      <c r="BA95" s="7" t="n">
        <f aca="false">BA94*$C$15</f>
        <v>13.2574958950879</v>
      </c>
      <c r="BB95" s="7" t="n">
        <f aca="false">BB94*$C$15</f>
        <v>14.0546974678429</v>
      </c>
      <c r="BC95" s="7" t="n">
        <f aca="false">BC94*$C$15</f>
        <v>14.8996089538382</v>
      </c>
      <c r="BD95" s="7" t="n">
        <f aca="false">BD94*$C$15</f>
        <v>15.7951018159334</v>
      </c>
      <c r="BE95" s="7" t="n">
        <f aca="false">BE94*$C$15</f>
        <v>16.7442191291274</v>
      </c>
      <c r="BF95" s="7" t="n">
        <f aca="false">BF94*$C$15</f>
        <v>17.7501859317773</v>
      </c>
      <c r="BG95" s="7" t="n">
        <f aca="false">BG94*$C$15</f>
        <v>18.8164201932079</v>
      </c>
      <c r="BH95" s="7" t="n">
        <f aca="false">BH94*$C$15</f>
        <v>19.9465444351271</v>
      </c>
      <c r="BI95" s="7" t="n">
        <f aca="false">BI94*$C$15</f>
        <v>21.1443980464591</v>
      </c>
      <c r="BJ95" s="7" t="n">
        <f aca="false">BJ94*$C$15</f>
        <v>22.4140503335546</v>
      </c>
      <c r="BK95" s="7" t="n">
        <f aca="false">BK94*$C$15</f>
        <v>23.7598143502136</v>
      </c>
    </row>
    <row r="96" customFormat="false" ht="15" hidden="false" customHeight="false" outlineLevel="0" collapsed="false">
      <c r="A96" s="6" t="s">
        <v>43</v>
      </c>
      <c r="D96" s="7" t="n">
        <f aca="false">D94-D95</f>
        <v>1.970829328125</v>
      </c>
      <c r="E96" s="7" t="n">
        <f aca="false">E94-E95</f>
        <v>3.934643986875</v>
      </c>
      <c r="F96" s="7" t="n">
        <f aca="false">F94-F95</f>
        <v>5.84833171453125</v>
      </c>
      <c r="G96" s="7" t="n">
        <f aca="false">G94-G95</f>
        <v>7.72525085134425</v>
      </c>
      <c r="H96" s="7" t="n">
        <f aca="false">H94-H95</f>
        <v>9.57787088951684</v>
      </c>
      <c r="I96" s="7" t="n">
        <f aca="false">I94-I95</f>
        <v>11.4179018708165</v>
      </c>
      <c r="J96" s="7" t="n">
        <f aca="false">J94-J95</f>
        <v>13.2564111233715</v>
      </c>
      <c r="K96" s="7" t="n">
        <f aca="false">K94-K95</f>
        <v>15.1039289151226</v>
      </c>
      <c r="L96" s="7" t="n">
        <f aca="false">L94-L95</f>
        <v>16.9705444243196</v>
      </c>
      <c r="M96" s="7" t="n">
        <f aca="false">M94-M95</f>
        <v>18.8659932716774</v>
      </c>
      <c r="N96" s="7" t="n">
        <f aca="false">N94-N95</f>
        <v>20.7997377218418</v>
      </c>
      <c r="O96" s="7" t="n">
        <f aca="false">O94-O95</f>
        <v>22.7810405414504</v>
      </c>
      <c r="P96" s="7" t="n">
        <f aca="false">P94-P95</f>
        <v>24.8190333953819</v>
      </c>
      <c r="Q96" s="7" t="n">
        <f aca="false">Q94-Q95</f>
        <v>26.9227805700541</v>
      </c>
      <c r="R96" s="7" t="n">
        <f aca="false">R94-R95</f>
        <v>29.1013387313612</v>
      </c>
      <c r="S96" s="7" t="n">
        <f aca="false">S94-S95</f>
        <v>31.3638133537099</v>
      </c>
      <c r="T96" s="7" t="n">
        <f aca="false">T94-T95</f>
        <v>33.7194123944657</v>
      </c>
      <c r="U96" s="7" t="n">
        <f aca="false">U94-U95</f>
        <v>36.1774977339276</v>
      </c>
      <c r="V96" s="7" t="n">
        <f aca="false">V94-V95</f>
        <v>38.7476348538187</v>
      </c>
      <c r="W96" s="7" t="n">
        <f aca="false">W94-W95</f>
        <v>41.4396411864243</v>
      </c>
      <c r="X96" s="7" t="n">
        <f aca="false">X94-X95</f>
        <v>44.2636335312268</v>
      </c>
      <c r="Y96" s="7" t="n">
        <f aca="false">Y94-Y95</f>
        <v>47.2300749055837</v>
      </c>
      <c r="Z96" s="7" t="n">
        <f aca="false">Z94-Z95</f>
        <v>50.349821170128</v>
      </c>
      <c r="AA96" s="7" t="n">
        <f aca="false">AA94-AA95</f>
        <v>53.6341677476764</v>
      </c>
      <c r="AB96" s="7" t="n">
        <f aca="false">AB94-AB95</f>
        <v>57.0948967361054</v>
      </c>
      <c r="AC96" s="7" t="n">
        <f aca="false">AC94-AC95</f>
        <v>60.7443247005376</v>
      </c>
      <c r="AD96" s="7" t="n">
        <f aca="false">AD94-AD95</f>
        <v>64.595351417961</v>
      </c>
      <c r="AE96" s="7" t="n">
        <f aca="false">AE94-AE95</f>
        <v>68.6615098378193</v>
      </c>
      <c r="AF96" s="7" t="n">
        <f aca="false">AF94-AF95</f>
        <v>72.9570175149149</v>
      </c>
      <c r="AG96" s="7" t="n">
        <f aca="false">AG94-AG95</f>
        <v>77.4968297659734</v>
      </c>
      <c r="AH96" s="7" t="n">
        <f aca="false">AH94-AH95</f>
        <v>82.2966947982391</v>
      </c>
      <c r="AI96" s="7" t="n">
        <f aca="false">AI94-AI95</f>
        <v>87.3732110573711</v>
      </c>
      <c r="AJ96" s="7" t="n">
        <f aca="false">AJ94-AJ95</f>
        <v>92.7438870425557</v>
      </c>
      <c r="AK96" s="7" t="n">
        <f aca="false">AK94-AK95</f>
        <v>98.4272038390407</v>
      </c>
      <c r="AL96" s="7" t="n">
        <f aca="false">AL94-AL95</f>
        <v>104.442680622146</v>
      </c>
      <c r="AM96" s="7" t="n">
        <f aca="false">AM94-AM95</f>
        <v>110.810943392145</v>
      </c>
      <c r="AN96" s="7" t="n">
        <f aca="false">AN94-AN95</f>
        <v>117.553797206165</v>
      </c>
      <c r="AO96" s="7" t="n">
        <f aca="false">AO94-AO95</f>
        <v>124.694302181435</v>
      </c>
      <c r="AP96" s="7" t="n">
        <f aca="false">AP94-AP95</f>
        <v>132.256853553711</v>
      </c>
      <c r="AQ96" s="7" t="n">
        <f aca="false">AQ94-AQ95</f>
        <v>140.26726608558</v>
      </c>
      <c r="AR96" s="7" t="n">
        <f aca="false">AR94-AR95</f>
        <v>148.752863131543</v>
      </c>
      <c r="AS96" s="7" t="n">
        <f aca="false">AS94-AS95</f>
        <v>157.742570680316</v>
      </c>
      <c r="AT96" s="7" t="n">
        <f aca="false">AT94-AT95</f>
        <v>167.267016709667</v>
      </c>
      <c r="AU96" s="7" t="n">
        <f aca="false">AU94-AU95</f>
        <v>177.358636205384</v>
      </c>
      <c r="AV96" s="7" t="n">
        <f aca="false">AV94-AV95</f>
        <v>188.051782213598</v>
      </c>
      <c r="AW96" s="7" t="n">
        <f aca="false">AW94-AW95</f>
        <v>199.382843314799</v>
      </c>
      <c r="AX96" s="7" t="n">
        <f aca="false">AX94-AX95</f>
        <v>211.390367928441</v>
      </c>
      <c r="AY96" s="7" t="n">
        <f aca="false">AY94-AY95</f>
        <v>224.11519587912</v>
      </c>
      <c r="AZ96" s="7" t="n">
        <f aca="false">AZ94-AZ95</f>
        <v>237.600597679025</v>
      </c>
      <c r="BA96" s="7" t="n">
        <f aca="false">BA94-BA95</f>
        <v>251.892422006671</v>
      </c>
      <c r="BB96" s="7" t="n">
        <f aca="false">BB94-BB95</f>
        <v>267.039251889016</v>
      </c>
      <c r="BC96" s="7" t="n">
        <f aca="false">BC94-BC95</f>
        <v>283.092570122925</v>
      </c>
      <c r="BD96" s="7" t="n">
        <f aca="false">BD94-BD95</f>
        <v>300.106934502734</v>
      </c>
      <c r="BE96" s="7" t="n">
        <f aca="false">BE94-BE95</f>
        <v>318.140163453421</v>
      </c>
      <c r="BF96" s="7" t="n">
        <f aca="false">BF94-BF95</f>
        <v>337.253532703768</v>
      </c>
      <c r="BG96" s="7" t="n">
        <f aca="false">BG94-BG95</f>
        <v>357.511983670951</v>
      </c>
      <c r="BH96" s="7" t="n">
        <f aca="false">BH94-BH95</f>
        <v>378.984344267414</v>
      </c>
      <c r="BI96" s="7" t="n">
        <f aca="false">BI94-BI95</f>
        <v>401.743562882723</v>
      </c>
      <c r="BJ96" s="7" t="n">
        <f aca="false">BJ94-BJ95</f>
        <v>425.866956337537</v>
      </c>
      <c r="BK96" s="7" t="n">
        <f aca="false">BK94-BK95</f>
        <v>451.436472654059</v>
      </c>
    </row>
    <row r="97" customFormat="false" ht="15" hidden="false" customHeight="false" outlineLevel="0" collapsed="false">
      <c r="A97" s="0" t="s">
        <v>202</v>
      </c>
      <c r="D97" s="7" t="n">
        <f aca="false">$C$60*$C$61</f>
        <v>0</v>
      </c>
      <c r="E97" s="7" t="n">
        <f aca="false">$C$60*$C$61</f>
        <v>0</v>
      </c>
      <c r="F97" s="7" t="n">
        <f aca="false">$C$60*$C$61</f>
        <v>0</v>
      </c>
      <c r="G97" s="7" t="n">
        <f aca="false">$C$60*$C$61</f>
        <v>0</v>
      </c>
      <c r="H97" s="7" t="n">
        <f aca="false">$C$60*$C$61</f>
        <v>0</v>
      </c>
      <c r="I97" s="7" t="n">
        <f aca="false">$C$60*$C$61</f>
        <v>0</v>
      </c>
      <c r="J97" s="7" t="n">
        <f aca="false">$C$60*$C$61</f>
        <v>0</v>
      </c>
      <c r="K97" s="7" t="n">
        <f aca="false">$C$60*$C$61</f>
        <v>0</v>
      </c>
      <c r="L97" s="7" t="n">
        <f aca="false">$C$60*$C$61</f>
        <v>0</v>
      </c>
      <c r="M97" s="7" t="n">
        <f aca="false">$C$60*$C$61</f>
        <v>0</v>
      </c>
      <c r="N97" s="7" t="n">
        <f aca="false">$C$60*$C$61</f>
        <v>0</v>
      </c>
      <c r="O97" s="7" t="n">
        <f aca="false">$C$60*$C$61</f>
        <v>0</v>
      </c>
      <c r="P97" s="7" t="n">
        <f aca="false">$C$60*$C$61</f>
        <v>0</v>
      </c>
      <c r="Q97" s="7" t="n">
        <f aca="false">$C$60*$C$61</f>
        <v>0</v>
      </c>
      <c r="R97" s="7" t="n">
        <f aca="false">$C$60*$C$61</f>
        <v>0</v>
      </c>
      <c r="S97" s="7" t="n">
        <f aca="false">$C$60*$C$61</f>
        <v>0</v>
      </c>
      <c r="T97" s="7" t="n">
        <f aca="false">$C$60*$C$61</f>
        <v>0</v>
      </c>
      <c r="U97" s="7" t="n">
        <f aca="false">$C$60*$C$61</f>
        <v>0</v>
      </c>
      <c r="V97" s="7" t="n">
        <f aca="false">$C$60*$C$61</f>
        <v>0</v>
      </c>
      <c r="W97" s="7" t="n">
        <f aca="false">$C$60*$C$61</f>
        <v>0</v>
      </c>
      <c r="X97" s="7" t="n">
        <f aca="false">$C$60*$C$61</f>
        <v>0</v>
      </c>
      <c r="Y97" s="7" t="n">
        <f aca="false">$C$60*$C$61</f>
        <v>0</v>
      </c>
      <c r="Z97" s="7" t="n">
        <f aca="false">$C$60*$C$61</f>
        <v>0</v>
      </c>
      <c r="AA97" s="7" t="n">
        <f aca="false">$C$60*$C$61</f>
        <v>0</v>
      </c>
      <c r="AB97" s="7" t="n">
        <f aca="false">$C$60*$C$61</f>
        <v>0</v>
      </c>
      <c r="AC97" s="7" t="n">
        <f aca="false">$C$60*$C$61</f>
        <v>0</v>
      </c>
      <c r="AD97" s="7" t="n">
        <f aca="false">$C$60*$C$61</f>
        <v>0</v>
      </c>
      <c r="AE97" s="7" t="n">
        <f aca="false">$C$60*$C$61</f>
        <v>0</v>
      </c>
      <c r="AF97" s="7" t="n">
        <f aca="false">$C$60*$C$61</f>
        <v>0</v>
      </c>
      <c r="AG97" s="7" t="n">
        <f aca="false">$C$60*$C$61</f>
        <v>0</v>
      </c>
      <c r="AH97" s="7" t="n">
        <f aca="false">$C$60*$C$61</f>
        <v>0</v>
      </c>
      <c r="AI97" s="7" t="n">
        <f aca="false">$C$60*$C$61</f>
        <v>0</v>
      </c>
      <c r="AJ97" s="7" t="n">
        <f aca="false">$C$60*$C$61</f>
        <v>0</v>
      </c>
      <c r="AK97" s="7" t="n">
        <f aca="false">$C$60*$C$61</f>
        <v>0</v>
      </c>
      <c r="AL97" s="7" t="n">
        <f aca="false">$C$60*$C$61</f>
        <v>0</v>
      </c>
      <c r="AM97" s="7" t="n">
        <f aca="false">$C$60*$C$61</f>
        <v>0</v>
      </c>
      <c r="AN97" s="7" t="n">
        <f aca="false">$C$60*$C$61</f>
        <v>0</v>
      </c>
      <c r="AO97" s="7" t="n">
        <f aca="false">$C$60*$C$61</f>
        <v>0</v>
      </c>
      <c r="AP97" s="7" t="n">
        <f aca="false">$C$60*$C$61</f>
        <v>0</v>
      </c>
      <c r="AQ97" s="7" t="n">
        <f aca="false">$C$60*$C$61</f>
        <v>0</v>
      </c>
      <c r="AR97" s="7" t="n">
        <f aca="false">$C$60*$C$61</f>
        <v>0</v>
      </c>
      <c r="AS97" s="7" t="n">
        <f aca="false">$C$60*$C$61</f>
        <v>0</v>
      </c>
      <c r="AT97" s="7" t="n">
        <f aca="false">$C$60*$C$61</f>
        <v>0</v>
      </c>
      <c r="AU97" s="7" t="n">
        <f aca="false">$C$60*$C$61</f>
        <v>0</v>
      </c>
      <c r="AV97" s="7" t="n">
        <f aca="false">$C$60*$C$61</f>
        <v>0</v>
      </c>
      <c r="AW97" s="7" t="n">
        <f aca="false">$C$60*$C$61</f>
        <v>0</v>
      </c>
      <c r="AX97" s="7" t="n">
        <f aca="false">$C$60*$C$61</f>
        <v>0</v>
      </c>
      <c r="AY97" s="7" t="n">
        <f aca="false">$C$60*$C$61</f>
        <v>0</v>
      </c>
      <c r="AZ97" s="7" t="n">
        <f aca="false">$C$60*$C$61</f>
        <v>0</v>
      </c>
      <c r="BA97" s="7" t="n">
        <f aca="false">$C$60*$C$61</f>
        <v>0</v>
      </c>
      <c r="BB97" s="7" t="n">
        <f aca="false">$C$60*$C$61</f>
        <v>0</v>
      </c>
      <c r="BC97" s="7" t="n">
        <f aca="false">$C$60*$C$61</f>
        <v>0</v>
      </c>
      <c r="BD97" s="7" t="n">
        <f aca="false">$C$60*$C$61</f>
        <v>0</v>
      </c>
      <c r="BE97" s="7" t="n">
        <f aca="false">$C$60*$C$61</f>
        <v>0</v>
      </c>
      <c r="BF97" s="7" t="n">
        <f aca="false">$C$60*$C$61</f>
        <v>0</v>
      </c>
      <c r="BG97" s="7" t="n">
        <f aca="false">$C$60*$C$61</f>
        <v>0</v>
      </c>
      <c r="BH97" s="7" t="n">
        <f aca="false">$C$60*$C$61</f>
        <v>0</v>
      </c>
      <c r="BI97" s="7" t="n">
        <f aca="false">$C$60*$C$61</f>
        <v>0</v>
      </c>
      <c r="BJ97" s="7" t="n">
        <f aca="false">$C$60*$C$61</f>
        <v>0</v>
      </c>
      <c r="BK97" s="7" t="n">
        <f aca="false">$C$60*$C$61</f>
        <v>0</v>
      </c>
    </row>
    <row r="98" customFormat="false" ht="15" hidden="false" customHeight="false" outlineLevel="0" collapsed="false">
      <c r="A98" s="0" t="s">
        <v>203</v>
      </c>
      <c r="D98" s="7" t="n">
        <f aca="false">D96+D97</f>
        <v>1.970829328125</v>
      </c>
      <c r="E98" s="7" t="n">
        <f aca="false">E96+E97</f>
        <v>3.934643986875</v>
      </c>
      <c r="F98" s="7" t="n">
        <f aca="false">F96+F97</f>
        <v>5.84833171453125</v>
      </c>
      <c r="G98" s="7" t="n">
        <f aca="false">G96+G97</f>
        <v>7.72525085134425</v>
      </c>
      <c r="H98" s="7" t="n">
        <f aca="false">H96+H97</f>
        <v>9.57787088951684</v>
      </c>
      <c r="I98" s="7" t="n">
        <f aca="false">I96+I97</f>
        <v>11.4179018708165</v>
      </c>
      <c r="J98" s="7" t="n">
        <f aca="false">J96+J97</f>
        <v>13.2564111233715</v>
      </c>
      <c r="K98" s="7" t="n">
        <f aca="false">K96+K97</f>
        <v>15.1039289151226</v>
      </c>
      <c r="L98" s="7" t="n">
        <f aca="false">L96+L97</f>
        <v>16.9705444243196</v>
      </c>
      <c r="M98" s="7" t="n">
        <f aca="false">M96+M97</f>
        <v>18.8659932716774</v>
      </c>
      <c r="N98" s="7" t="n">
        <f aca="false">N96+N97</f>
        <v>20.7997377218418</v>
      </c>
      <c r="O98" s="7" t="n">
        <f aca="false">O96+O97</f>
        <v>22.7810405414504</v>
      </c>
      <c r="P98" s="7" t="n">
        <f aca="false">P96+P97</f>
        <v>24.8190333953819</v>
      </c>
      <c r="Q98" s="7" t="n">
        <f aca="false">Q96+Q97</f>
        <v>26.9227805700541</v>
      </c>
      <c r="R98" s="7" t="n">
        <f aca="false">R96+R97</f>
        <v>29.1013387313612</v>
      </c>
      <c r="S98" s="7" t="n">
        <f aca="false">S96+S97</f>
        <v>31.3638133537099</v>
      </c>
      <c r="T98" s="7" t="n">
        <f aca="false">T96+T97</f>
        <v>33.7194123944657</v>
      </c>
      <c r="U98" s="7" t="n">
        <f aca="false">U96+U97</f>
        <v>36.1774977339276</v>
      </c>
      <c r="V98" s="7" t="n">
        <f aca="false">V96+V97</f>
        <v>38.7476348538187</v>
      </c>
      <c r="W98" s="7" t="n">
        <f aca="false">W96+W97</f>
        <v>41.4396411864243</v>
      </c>
      <c r="X98" s="7" t="n">
        <f aca="false">X96+X97</f>
        <v>44.2636335312268</v>
      </c>
      <c r="Y98" s="7" t="n">
        <f aca="false">Y96+Y97</f>
        <v>47.2300749055837</v>
      </c>
      <c r="Z98" s="7" t="n">
        <f aca="false">Z96+Z97</f>
        <v>50.349821170128</v>
      </c>
      <c r="AA98" s="7" t="n">
        <f aca="false">AA96+AA97</f>
        <v>53.6341677476764</v>
      </c>
      <c r="AB98" s="7" t="n">
        <f aca="false">AB96+AB97</f>
        <v>57.0948967361054</v>
      </c>
      <c r="AC98" s="7" t="n">
        <f aca="false">AC96+AC97</f>
        <v>60.7443247005376</v>
      </c>
      <c r="AD98" s="7" t="n">
        <f aca="false">AD96+AD97</f>
        <v>64.595351417961</v>
      </c>
      <c r="AE98" s="7" t="n">
        <f aca="false">AE96+AE97</f>
        <v>68.6615098378193</v>
      </c>
      <c r="AF98" s="7" t="n">
        <f aca="false">AF96+AF97</f>
        <v>72.9570175149149</v>
      </c>
      <c r="AG98" s="7" t="n">
        <f aca="false">AG96+AG97</f>
        <v>77.4968297659734</v>
      </c>
      <c r="AH98" s="7" t="n">
        <f aca="false">AH96+AH97</f>
        <v>82.2966947982391</v>
      </c>
      <c r="AI98" s="7" t="n">
        <f aca="false">AI96+AI97</f>
        <v>87.3732110573711</v>
      </c>
      <c r="AJ98" s="7" t="n">
        <f aca="false">AJ96+AJ97</f>
        <v>92.7438870425557</v>
      </c>
      <c r="AK98" s="7" t="n">
        <f aca="false">AK96+AK97</f>
        <v>98.4272038390407</v>
      </c>
      <c r="AL98" s="7" t="n">
        <f aca="false">AL96+AL97</f>
        <v>104.442680622146</v>
      </c>
      <c r="AM98" s="7" t="n">
        <f aca="false">AM96+AM97</f>
        <v>110.810943392145</v>
      </c>
      <c r="AN98" s="7" t="n">
        <f aca="false">AN96+AN97</f>
        <v>117.553797206165</v>
      </c>
      <c r="AO98" s="7" t="n">
        <f aca="false">AO96+AO97</f>
        <v>124.694302181435</v>
      </c>
      <c r="AP98" s="7" t="n">
        <f aca="false">AP96+AP97</f>
        <v>132.256853553711</v>
      </c>
      <c r="AQ98" s="7" t="n">
        <f aca="false">AQ96+AQ97</f>
        <v>140.26726608558</v>
      </c>
      <c r="AR98" s="7" t="n">
        <f aca="false">AR96+AR97</f>
        <v>148.752863131543</v>
      </c>
      <c r="AS98" s="7" t="n">
        <f aca="false">AS96+AS97</f>
        <v>157.742570680316</v>
      </c>
      <c r="AT98" s="7" t="n">
        <f aca="false">AT96+AT97</f>
        <v>167.267016709667</v>
      </c>
      <c r="AU98" s="7" t="n">
        <f aca="false">AU96+AU97</f>
        <v>177.358636205384</v>
      </c>
      <c r="AV98" s="7" t="n">
        <f aca="false">AV96+AV97</f>
        <v>188.051782213598</v>
      </c>
      <c r="AW98" s="7" t="n">
        <f aca="false">AW96+AW97</f>
        <v>199.382843314799</v>
      </c>
      <c r="AX98" s="7" t="n">
        <f aca="false">AX96+AX97</f>
        <v>211.390367928441</v>
      </c>
      <c r="AY98" s="7" t="n">
        <f aca="false">AY96+AY97</f>
        <v>224.11519587912</v>
      </c>
      <c r="AZ98" s="7" t="n">
        <f aca="false">AZ96+AZ97</f>
        <v>237.600597679025</v>
      </c>
      <c r="BA98" s="7" t="n">
        <f aca="false">BA96+BA97</f>
        <v>251.892422006671</v>
      </c>
      <c r="BB98" s="7" t="n">
        <f aca="false">BB96+BB97</f>
        <v>267.039251889016</v>
      </c>
      <c r="BC98" s="7" t="n">
        <f aca="false">BC96+BC97</f>
        <v>283.092570122925</v>
      </c>
      <c r="BD98" s="7" t="n">
        <f aca="false">BD96+BD97</f>
        <v>300.106934502734</v>
      </c>
      <c r="BE98" s="7" t="n">
        <f aca="false">BE96+BE97</f>
        <v>318.140163453421</v>
      </c>
      <c r="BF98" s="7" t="n">
        <f aca="false">BF96+BF97</f>
        <v>337.253532703768</v>
      </c>
      <c r="BG98" s="7" t="n">
        <f aca="false">BG96+BG97</f>
        <v>357.511983670951</v>
      </c>
      <c r="BH98" s="7" t="n">
        <f aca="false">BH96+BH97</f>
        <v>378.984344267414</v>
      </c>
      <c r="BI98" s="7" t="n">
        <f aca="false">BI96+BI97</f>
        <v>401.743562882723</v>
      </c>
      <c r="BJ98" s="7" t="n">
        <f aca="false">BJ96+BJ97</f>
        <v>425.866956337537</v>
      </c>
      <c r="BK98" s="7" t="n">
        <f aca="false">BK96+BK97</f>
        <v>451.436472654059</v>
      </c>
    </row>
    <row r="99" customFormat="false" ht="15" hidden="false" customHeight="false" outlineLevel="0" collapsed="false">
      <c r="A99" s="0" t="s">
        <v>204</v>
      </c>
      <c r="D99" s="7" t="n">
        <f aca="false">D94*($C$9+$C$11*$C$12)+D88*($C$10+$C$14*$C$13)+D97*$C$9+$C$60*$C$10</f>
        <v>0.09519722296875</v>
      </c>
      <c r="E99" s="7" t="n">
        <f aca="false">E94*($C$9+$C$11*$C$12)+E88*($C$10+$C$14*$C$13)+E97*$C$9+$C$60*$C$10</f>
        <v>0.18908602768125</v>
      </c>
      <c r="F99" s="7" t="n">
        <f aca="false">F94*($C$9+$C$11*$C$12)+F88*($C$10+$C$14*$C$13)+F97*$C$9+$C$60*$C$10</f>
        <v>0.280306957317188</v>
      </c>
      <c r="G99" s="7" t="n">
        <f aca="false">G94*($C$9+$C$11*$C$12)+G88*($C$10+$C$14*$C$13)+G97*$C$9+$C$60*$C$10</f>
        <v>0.369533421798818</v>
      </c>
      <c r="H99" s="7" t="n">
        <f aca="false">H94*($C$9+$C$11*$C$12)+H88*($C$10+$C$14*$C$13)+H97*$C$9+$C$60*$C$10</f>
        <v>0.457391046269822</v>
      </c>
      <c r="I99" s="7" t="n">
        <f aca="false">I94*($C$9+$C$11*$C$12)+I88*($C$10+$C$14*$C$13)+I97*$C$9+$C$60*$C$10</f>
        <v>0.544464511518528</v>
      </c>
      <c r="J99" s="7" t="n">
        <f aca="false">J94*($C$9+$C$11*$C$12)+J88*($C$10+$C$14*$C$13)+J97*$C$9+$C$60*$C$10</f>
        <v>0.63130370567853</v>
      </c>
      <c r="K99" s="7" t="n">
        <f aca="false">K94*($C$9+$C$11*$C$12)+K88*($C$10+$C$14*$C$13)+K97*$C$9+$C$60*$C$10</f>
        <v>0.718429272776717</v>
      </c>
      <c r="L99" s="7" t="n">
        <f aca="false">L94*($C$9+$C$11*$C$12)+L88*($C$10+$C$14*$C$13)+L97*$C$9+$C$60*$C$10</f>
        <v>0.806337633990669</v>
      </c>
      <c r="M99" s="7" t="n">
        <f aca="false">M94*($C$9+$C$11*$C$12)+M88*($C$10+$C$14*$C$13)+M97*$C$9+$C$60*$C$10</f>
        <v>0.895505548938134</v>
      </c>
      <c r="N99" s="7" t="n">
        <f aca="false">N94*($C$9+$C$11*$C$12)+N88*($C$10+$C$14*$C$13)+N97*$C$9+$C$60*$C$10</f>
        <v>0.986394276812995</v>
      </c>
      <c r="O99" s="7" t="n">
        <f aca="false">O94*($C$9+$C$11*$C$12)+O88*($C$10+$C$14*$C$13)+O97*$C$9+$C$60*$C$10</f>
        <v>1.0794533905837</v>
      </c>
      <c r="P99" s="7" t="n">
        <f aca="false">P94*($C$9+$C$11*$C$12)+P88*($C$10+$C$14*$C$13)+P97*$C$9+$C$60*$C$10</f>
        <v>1.17512429167483</v>
      </c>
      <c r="Q99" s="7" t="n">
        <f aca="false">Q94*($C$9+$C$11*$C$12)+Q88*($C$10+$C$14*$C$13)+Q97*$C$9+$C$60*$C$10</f>
        <v>1.27384346746653</v>
      </c>
      <c r="R99" s="7" t="n">
        <f aca="false">R94*($C$9+$C$11*$C$12)+R88*($C$10+$C$14*$C$13)+R97*$C$9+$C$60*$C$10</f>
        <v>1.37604552948709</v>
      </c>
      <c r="S99" s="7" t="n">
        <f aca="false">S94*($C$9+$C$11*$C$12)+S88*($C$10+$C$14*$C$13)+S97*$C$9+$C$60*$C$10</f>
        <v>1.48216606626893</v>
      </c>
      <c r="T99" s="7" t="n">
        <f aca="false">T94*($C$9+$C$11*$C$12)+T88*($C$10+$C$14*$C$13)+T97*$C$9+$C$60*$C$10</f>
        <v>1.59264434142269</v>
      </c>
      <c r="U99" s="7" t="n">
        <f aca="false">U94*($C$9+$C$11*$C$12)+U88*($C$10+$C$14*$C$13)+U97*$C$9+$C$60*$C$10</f>
        <v>1.70792586450321</v>
      </c>
      <c r="V99" s="7" t="n">
        <f aca="false">V94*($C$9+$C$11*$C$12)+V88*($C$10+$C$14*$C$13)+V97*$C$9+$C$60*$C$10</f>
        <v>1.8284648596441</v>
      </c>
      <c r="W99" s="7" t="n">
        <f aca="false">W94*($C$9+$C$11*$C$12)+W88*($C$10+$C$14*$C$13)+W97*$C$9+$C$60*$C$10</f>
        <v>1.95472665468205</v>
      </c>
      <c r="X99" s="7" t="n">
        <f aca="false">X94*($C$9+$C$11*$C$12)+X88*($C$10+$C$14*$C$13)+X97*$C$9+$C$60*$C$10</f>
        <v>2.08719001153914</v>
      </c>
      <c r="Y99" s="7" t="n">
        <f aca="false">Y94*($C$9+$C$11*$C$12)+Y88*($C$10+$C$14*$C$13)+Y97*$C$9+$C$60*$C$10</f>
        <v>2.22634941694798</v>
      </c>
      <c r="Z99" s="7" t="n">
        <f aca="false">Z94*($C$9+$C$11*$C$12)+Z88*($C$10+$C$14*$C$13)+Z97*$C$9+$C$60*$C$10</f>
        <v>2.37271735116176</v>
      </c>
      <c r="AA99" s="7" t="n">
        <f aca="false">AA94*($C$9+$C$11*$C$12)+AA88*($C$10+$C$14*$C$13)+AA97*$C$9+$C$60*$C$10</f>
        <v>2.52682655106182</v>
      </c>
      <c r="AB99" s="7" t="n">
        <f aca="false">AB94*($C$9+$C$11*$C$12)+AB88*($C$10+$C$14*$C$13)+AB97*$C$9+$C$60*$C$10</f>
        <v>2.6892322830391</v>
      </c>
      <c r="AC99" s="7" t="n">
        <f aca="false">AC94*($C$9+$C$11*$C$12)+AC88*($C$10+$C$14*$C$13)+AC97*$C$9+$C$60*$C$10</f>
        <v>2.86051464016074</v>
      </c>
      <c r="AD99" s="7" t="n">
        <f aca="false">AD94*($C$9+$C$11*$C$12)+AD88*($C$10+$C$14*$C$13)+AD97*$C$9+$C$60*$C$10</f>
        <v>3.04128087742354</v>
      </c>
      <c r="AE99" s="7" t="n">
        <f aca="false">AE94*($C$9+$C$11*$C$12)+AE88*($C$10+$C$14*$C$13)+AE97*$C$9+$C$60*$C$10</f>
        <v>3.23216779832672</v>
      </c>
      <c r="AF99" s="7" t="n">
        <f aca="false">AF94*($C$9+$C$11*$C$12)+AF88*($C$10+$C$14*$C$13)+AF97*$C$9+$C$60*$C$10</f>
        <v>3.43384420555364</v>
      </c>
      <c r="AG99" s="7" t="n">
        <f aca="false">AG94*($C$9+$C$11*$C$12)+AG88*($C$10+$C$14*$C$13)+AG97*$C$9+$C$60*$C$10</f>
        <v>3.64701342822593</v>
      </c>
      <c r="AH99" s="7" t="n">
        <f aca="false">AH94*($C$9+$C$11*$C$12)+AH88*($C$10+$C$14*$C$13)+AH97*$C$9+$C$60*$C$10</f>
        <v>3.87241593797314</v>
      </c>
      <c r="AI99" s="7" t="n">
        <f aca="false">AI94*($C$9+$C$11*$C$12)+AI88*($C$10+$C$14*$C$13)+AI97*$C$9+$C$60*$C$10</f>
        <v>4.11083206593853</v>
      </c>
      <c r="AJ99" s="7" t="n">
        <f aca="false">AJ94*($C$9+$C$11*$C$12)+AJ88*($C$10+$C$14*$C$13)+AJ97*$C$9+$C$60*$C$10</f>
        <v>4.36308483281034</v>
      </c>
      <c r="AK99" s="7" t="n">
        <f aca="false">AK94*($C$9+$C$11*$C$12)+AK88*($C$10+$C$14*$C$13)+AK97*$C$9+$C$60*$C$10</f>
        <v>4.63004290402095</v>
      </c>
      <c r="AL99" s="7" t="n">
        <f aca="false">AL94*($C$9+$C$11*$C$12)+AL88*($C$10+$C$14*$C$13)+AL97*$C$9+$C$60*$C$10</f>
        <v>4.91262368238978</v>
      </c>
      <c r="AM99" s="7" t="n">
        <f aca="false">AM94*($C$9+$C$11*$C$12)+AM88*($C$10+$C$14*$C$13)+AM97*$C$9+$C$60*$C$10</f>
        <v>5.21179655069467</v>
      </c>
      <c r="AN99" s="7" t="n">
        <f aca="false">AN94*($C$9+$C$11*$C$12)+AN88*($C$10+$C$14*$C$13)+AN97*$C$9+$C$60*$C$10</f>
        <v>5.52858627693805</v>
      </c>
      <c r="AO99" s="7" t="n">
        <f aca="false">AO94*($C$9+$C$11*$C$12)+AO88*($C$10+$C$14*$C$13)+AO97*$C$9+$C$60*$C$10</f>
        <v>5.86407659542542</v>
      </c>
      <c r="AP99" s="7" t="n">
        <f aca="false">AP94*($C$9+$C$11*$C$12)+AP88*($C$10+$C$14*$C$13)+AP97*$C$9+$C$60*$C$10</f>
        <v>6.21941397719319</v>
      </c>
      <c r="AQ99" s="7" t="n">
        <f aca="false">AQ94*($C$9+$C$11*$C$12)+AQ88*($C$10+$C$14*$C$13)+AQ97*$C$9+$C$60*$C$10</f>
        <v>6.59581160380874</v>
      </c>
      <c r="AR99" s="7" t="n">
        <f aca="false">AR94*($C$9+$C$11*$C$12)+AR88*($C$10+$C$14*$C$13)+AR97*$C$9+$C$60*$C$10</f>
        <v>6.9945535591173</v>
      </c>
      <c r="AS99" s="7" t="n">
        <f aca="false">AS94*($C$9+$C$11*$C$12)+AS88*($C$10+$C$14*$C$13)+AS97*$C$9+$C$60*$C$10</f>
        <v>7.416999254128</v>
      </c>
      <c r="AT99" s="7" t="n">
        <f aca="false">AT94*($C$9+$C$11*$C$12)+AT88*($C$10+$C$14*$C$13)+AT97*$C$9+$C$60*$C$10</f>
        <v>7.8645881009142</v>
      </c>
      <c r="AU99" s="7" t="n">
        <f aca="false">AU94*($C$9+$C$11*$C$12)+AU88*($C$10+$C$14*$C$13)+AU97*$C$9+$C$60*$C$10</f>
        <v>8.3388444521532</v>
      </c>
      <c r="AV99" s="7" t="n">
        <f aca="false">AV94*($C$9+$C$11*$C$12)+AV88*($C$10+$C$14*$C$13)+AV97*$C$9+$C$60*$C$10</f>
        <v>8.84138282374763</v>
      </c>
      <c r="AW99" s="7" t="n">
        <f aca="false">AW94*($C$9+$C$11*$C$12)+AW88*($C$10+$C$14*$C$13)+AW97*$C$9+$C$60*$C$10</f>
        <v>9.37391341885676</v>
      </c>
      <c r="AX99" s="7" t="n">
        <f aca="false">AX94*($C$9+$C$11*$C$12)+AX88*($C$10+$C$14*$C$13)+AX97*$C$9+$C$60*$C$10</f>
        <v>9.93824797262356</v>
      </c>
      <c r="AY99" s="7" t="n">
        <f aca="false">AY94*($C$9+$C$11*$C$12)+AY88*($C$10+$C$14*$C$13)+AY97*$C$9+$C$60*$C$10</f>
        <v>10.5363059379131</v>
      </c>
      <c r="AZ99" s="7" t="n">
        <f aca="false">AZ94*($C$9+$C$11*$C$12)+AZ88*($C$10+$C$14*$C$13)+AZ97*$C$9+$C$60*$C$10</f>
        <v>11.1701210334844</v>
      </c>
      <c r="BA99" s="7" t="n">
        <f aca="false">BA94*($C$9+$C$11*$C$12)+BA88*($C$10+$C$14*$C$13)+BA97*$C$9+$C$60*$C$10</f>
        <v>11.841848177202</v>
      </c>
      <c r="BB99" s="7" t="n">
        <f aca="false">BB94*($C$9+$C$11*$C$12)+BB88*($C$10+$C$14*$C$13)+BB97*$C$9+$C$60*$C$10</f>
        <v>12.5537708281607</v>
      </c>
      <c r="BC99" s="7" t="n">
        <f aca="false">BC94*($C$9+$C$11*$C$12)+BC88*($C$10+$C$14*$C$13)+BC97*$C$9+$C$60*$C$10</f>
        <v>13.3083087629495</v>
      </c>
      <c r="BD99" s="7" t="n">
        <f aca="false">BD94*($C$9+$C$11*$C$12)+BD88*($C$10+$C$14*$C$13)+BD97*$C$9+$C$60*$C$10</f>
        <v>14.1080263127228</v>
      </c>
      <c r="BE99" s="7" t="n">
        <f aca="false">BE94*($C$9+$C$11*$C$12)+BE88*($C$10+$C$14*$C$13)+BE97*$C$9+$C$60*$C$10</f>
        <v>14.9556410892825</v>
      </c>
      <c r="BF99" s="7" t="n">
        <f aca="false">BF94*($C$9+$C$11*$C$12)+BF88*($C$10+$C$14*$C$13)+BF97*$C$9+$C$60*$C$10</f>
        <v>15.8540332300132</v>
      </c>
      <c r="BG99" s="7" t="n">
        <f aca="false">BG94*($C$9+$C$11*$C$12)+BG88*($C$10+$C$14*$C$13)+BG97*$C$9+$C$60*$C$10</f>
        <v>16.8062551932486</v>
      </c>
      <c r="BH99" s="7" t="n">
        <f aca="false">BH94*($C$9+$C$11*$C$12)+BH88*($C$10+$C$14*$C$13)+BH97*$C$9+$C$60*$C$10</f>
        <v>17.8155421374991</v>
      </c>
      <c r="BI99" s="7" t="n">
        <f aca="false">BI94*($C$9+$C$11*$C$12)+BI88*($C$10+$C$14*$C$13)+BI97*$C$9+$C$60*$C$10</f>
        <v>18.8853229199354</v>
      </c>
      <c r="BJ99" s="7" t="n">
        <f aca="false">BJ94*($C$9+$C$11*$C$12)+BJ88*($C$10+$C$14*$C$13)+BJ97*$C$9+$C$60*$C$10</f>
        <v>20.0192317516098</v>
      </c>
      <c r="BK99" s="7" t="n">
        <f aca="false">BK94*($C$9+$C$11*$C$12)+BK88*($C$10+$C$14*$C$13)+BK97*$C$9+$C$60*$C$10</f>
        <v>21.2211205491144</v>
      </c>
    </row>
    <row r="100" customFormat="false" ht="15" hidden="false" customHeight="false" outlineLevel="0" collapsed="false">
      <c r="A100" s="0" t="s">
        <v>205</v>
      </c>
      <c r="D100" s="7" t="n">
        <f aca="false">(D85*$C$41+D86*$C$42+D87*$C$43)*$C$40</f>
        <v>0.226261373195689</v>
      </c>
      <c r="E100" s="7" t="n">
        <f aca="false">(E85*$C$41+E86*$C$42+E87*$C$43)*$C$40</f>
        <v>0.445243515464763</v>
      </c>
      <c r="F100" s="7" t="n">
        <f aca="false">(F85*$C$41+F86*$C$42+F87*$C$43)*$C$40</f>
        <v>0.658559850851964</v>
      </c>
      <c r="G100" s="7" t="n">
        <f aca="false">(G85*$C$41+G86*$C$42+G87*$C$43)*$C$40</f>
        <v>0.867707702167345</v>
      </c>
      <c r="H100" s="7" t="n">
        <f aca="false">(H85*$C$41+H86*$C$42+H87*$C$43)*$C$40</f>
        <v>1.07408440923573</v>
      </c>
      <c r="I100" s="7" t="n">
        <f aca="false">(I85*$C$41+I86*$C$42+I87*$C$43)*$C$40</f>
        <v>1.27900183019879</v>
      </c>
      <c r="J100" s="7" t="n">
        <f aca="false">(J85*$C$41+J86*$C$42+J87*$C$43)*$C$40</f>
        <v>1.48369942471672</v>
      </c>
      <c r="K100" s="7" t="n">
        <f aca="false">(K85*$C$41+K86*$C$42+K87*$C$43)*$C$40</f>
        <v>1.6893560954416</v>
      </c>
      <c r="L100" s="7" t="n">
        <f aca="false">(L85*$C$41+L86*$C$42+L87*$C$43)*$C$40</f>
        <v>1.89710094435404</v>
      </c>
      <c r="M100" s="7" t="n">
        <f aca="false">(M85*$C$41+M86*$C$42+M87*$C$43)*$C$40</f>
        <v>2.10802308315258</v>
      </c>
      <c r="N100" s="7" t="n">
        <f aca="false">(N85*$C$41+N86*$C$42+N87*$C$43)*$C$40</f>
        <v>2.32318062158197</v>
      </c>
      <c r="O100" s="7" t="n">
        <f aca="false">(O85*$C$41+O86*$C$42+O87*$C$43)*$C$40</f>
        <v>2.54360894413658</v>
      </c>
      <c r="P100" s="7" t="n">
        <f aca="false">(P85*$C$41+P86*$C$42+P87*$C$43)*$C$40</f>
        <v>2.77032837376268</v>
      </c>
      <c r="Q100" s="7" t="n">
        <f aca="false">(Q85*$C$41+Q86*$C$42+Q87*$C$43)*$C$40</f>
        <v>3.00435131081797</v>
      </c>
      <c r="R100" s="7" t="n">
        <f aca="false">(R85*$C$41+R86*$C$42+R87*$C$43)*$C$40</f>
        <v>3.24668892646068</v>
      </c>
      <c r="S100" s="7" t="n">
        <f aca="false">(S85*$C$41+S86*$C$42+S87*$C$43)*$C$40</f>
        <v>3.49835748168729</v>
      </c>
      <c r="T100" s="7" t="n">
        <f aca="false">(T85*$C$41+T86*$C$42+T87*$C$43)*$C$40</f>
        <v>3.76038433628671</v>
      </c>
      <c r="U100" s="7" t="n">
        <f aca="false">(U85*$C$41+U86*$C$42+U87*$C$43)*$C$40</f>
        <v>4.03381370591714</v>
      </c>
      <c r="V100" s="7" t="n">
        <f aca="false">(V85*$C$41+V86*$C$42+V87*$C$43)*$C$40</f>
        <v>4.31971222023797</v>
      </c>
      <c r="W100" s="7" t="n">
        <f aca="false">(W85*$C$41+W86*$C$42+W87*$C$43)*$C$40</f>
        <v>4.61917433045639</v>
      </c>
      <c r="X100" s="7" t="n">
        <f aca="false">(X85*$C$41+X86*$C$42+X87*$C$43)*$C$40</f>
        <v>4.93332761069882</v>
      </c>
      <c r="Y100" s="7" t="n">
        <f aca="false">(Y85*$C$41+Y86*$C$42+Y87*$C$43)*$C$40</f>
        <v>5.26333799422299</v>
      </c>
      <c r="Z100" s="7" t="n">
        <f aca="false">(Z85*$C$41+Z86*$C$42+Z87*$C$43)*$C$40</f>
        <v>5.61041498258864</v>
      </c>
      <c r="AA100" s="7" t="n">
        <f aca="false">(AA85*$C$41+AA86*$C$42+AA87*$C$43)*$C$40</f>
        <v>5.97581686345048</v>
      </c>
      <c r="AB100" s="7" t="n">
        <f aca="false">(AB85*$C$41+AB86*$C$42+AB87*$C$43)*$C$40</f>
        <v>6.36085597058163</v>
      </c>
      <c r="AC100" s="7" t="n">
        <f aca="false">(AC85*$C$41+AC86*$C$42+AC87*$C$43)*$C$40</f>
        <v>6.76690401803828</v>
      </c>
      <c r="AD100" s="7" t="n">
        <f aca="false">(AD85*$C$41+AD86*$C$42+AD87*$C$43)*$C$40</f>
        <v>7.19539753900379</v>
      </c>
      <c r="AE100" s="7" t="n">
        <f aca="false">(AE85*$C$41+AE86*$C$42+AE87*$C$43)*$C$40</f>
        <v>7.64784345877086</v>
      </c>
      <c r="AF100" s="7" t="n">
        <f aca="false">(AF85*$C$41+AF86*$C$42+AF87*$C$43)*$C$40</f>
        <v>8.12582483050906</v>
      </c>
      <c r="AG100" s="7" t="n">
        <f aca="false">(AG85*$C$41+AG86*$C$42+AG87*$C$43)*$C$40</f>
        <v>8.63100676189925</v>
      </c>
      <c r="AH100" s="7" t="n">
        <f aca="false">(AH85*$C$41+AH86*$C$42+AH87*$C$43)*$C$40</f>
        <v>9.16514256037542</v>
      </c>
      <c r="AI100" s="7" t="n">
        <f aca="false">(AI85*$C$41+AI86*$C$42+AI87*$C$43)*$C$40</f>
        <v>9.73008012458447</v>
      </c>
      <c r="AJ100" s="7" t="n">
        <f aca="false">(AJ85*$C$41+AJ86*$C$42+AJ87*$C$43)*$C$40</f>
        <v>10.3277686097381</v>
      </c>
      <c r="AK100" s="7" t="n">
        <f aca="false">(AK85*$C$41+AK86*$C$42+AK87*$C$43)*$C$40</f>
        <v>10.96026539478</v>
      </c>
      <c r="AL100" s="7" t="n">
        <f aca="false">(AL85*$C$41+AL86*$C$42+AL87*$C$43)*$C$40</f>
        <v>11.6297433797124</v>
      </c>
      <c r="AM100" s="7" t="n">
        <f aca="false">(AM85*$C$41+AM86*$C$42+AM87*$C$43)*$C$40</f>
        <v>12.3384986420163</v>
      </c>
      <c r="AN100" s="7" t="n">
        <f aca="false">(AN85*$C$41+AN86*$C$42+AN87*$C$43)*$C$40</f>
        <v>13.0889584818454</v>
      </c>
      <c r="AO100" s="7" t="n">
        <f aca="false">(AO85*$C$41+AO86*$C$42+AO87*$C$43)*$C$40</f>
        <v>13.8836898865797</v>
      </c>
      <c r="AP100" s="7" t="n">
        <f aca="false">(AP85*$C$41+AP86*$C$42+AP87*$C$43)*$C$40</f>
        <v>14.7254084463783</v>
      </c>
      <c r="AQ100" s="7" t="n">
        <f aca="false">(AQ85*$C$41+AQ86*$C$42+AQ87*$C$43)*$C$40</f>
        <v>15.6169877535764</v>
      </c>
      <c r="AR100" s="7" t="n">
        <f aca="false">(AR85*$C$41+AR86*$C$42+AR87*$C$43)*$C$40</f>
        <v>16.5614693201287</v>
      </c>
      <c r="AS100" s="7" t="n">
        <f aca="false">(AS85*$C$41+AS86*$C$42+AS87*$C$43)*$C$40</f>
        <v>17.5620730487998</v>
      </c>
      <c r="AT100" s="7" t="n">
        <f aca="false">(AT85*$C$41+AT86*$C$42+AT87*$C$43)*$C$40</f>
        <v>18.6222082954626</v>
      </c>
      <c r="AU100" s="7" t="n">
        <f aca="false">(AU85*$C$41+AU86*$C$42+AU87*$C$43)*$C$40</f>
        <v>19.7454855616672</v>
      </c>
      <c r="AV100" s="7" t="n">
        <f aca="false">(AV85*$C$41+AV86*$C$42+AV87*$C$43)*$C$40</f>
        <v>20.9357288586101</v>
      </c>
      <c r="AW100" s="7" t="n">
        <f aca="false">(AW85*$C$41+AW86*$C$42+AW87*$C$43)*$C$40</f>
        <v>22.1969887857535</v>
      </c>
      <c r="AX100" s="7" t="n">
        <f aca="false">(AX85*$C$41+AX86*$C$42+AX87*$C$43)*$C$40</f>
        <v>23.533556369633</v>
      </c>
      <c r="AY100" s="7" t="n">
        <f aca="false">(AY85*$C$41+AY86*$C$42+AY87*$C$43)*$C$40</f>
        <v>24.9499777108508</v>
      </c>
      <c r="AZ100" s="7" t="n">
        <f aca="false">(AZ85*$C$41+AZ86*$C$42+AZ87*$C$43)*$C$40</f>
        <v>26.451069489885</v>
      </c>
      <c r="BA100" s="7" t="n">
        <f aca="false">(BA85*$C$41+BA86*$C$42+BA87*$C$43)*$C$40</f>
        <v>28.041935385167</v>
      </c>
      <c r="BB100" s="7" t="n">
        <f aca="false">(BB85*$C$41+BB86*$C$42+BB87*$C$43)*$C$40</f>
        <v>29.7279834598887</v>
      </c>
      <c r="BC100" s="7" t="n">
        <f aca="false">(BC85*$C$41+BC86*$C$42+BC87*$C$43)*$C$40</f>
        <v>31.5149445772169</v>
      </c>
      <c r="BD100" s="7" t="n">
        <f aca="false">(BD85*$C$41+BD86*$C$42+BD87*$C$43)*$C$40</f>
        <v>33.4088919070145</v>
      </c>
      <c r="BE100" s="7" t="n">
        <f aca="false">(BE85*$C$41+BE86*$C$42+BE87*$C$43)*$C$40</f>
        <v>35.4162615908167</v>
      </c>
      <c r="BF100" s="7" t="n">
        <f aca="false">(BF85*$C$41+BF86*$C$42+BF87*$C$43)*$C$40</f>
        <v>37.5438746356901</v>
      </c>
      <c r="BG100" s="7" t="n">
        <f aca="false">(BG85*$C$41+BG86*$C$42+BG87*$C$43)*$C$40</f>
        <v>39.7989601117256</v>
      </c>
      <c r="BH100" s="7" t="n">
        <f aca="false">(BH85*$C$41+BH86*$C$42+BH87*$C$43)*$C$40</f>
        <v>42.1891797323063</v>
      </c>
      <c r="BI100" s="7" t="n">
        <f aca="false">(BI85*$C$41+BI86*$C$42+BI87*$C$43)*$C$40</f>
        <v>44.7226539009446</v>
      </c>
      <c r="BJ100" s="7" t="n">
        <f aca="false">(BJ85*$C$41+BJ86*$C$42+BJ87*$C$43)*$C$40</f>
        <v>47.4079893134334</v>
      </c>
      <c r="BK100" s="7" t="n">
        <f aca="false">(BK85*$C$41+BK86*$C$42+BK87*$C$43)*$C$40</f>
        <v>50.2543082093068</v>
      </c>
    </row>
    <row r="101" customFormat="false" ht="15" hidden="false" customHeight="false" outlineLevel="0" collapsed="false">
      <c r="A101" s="0" t="s">
        <v>206</v>
      </c>
      <c r="D101" s="7" t="n">
        <f aca="false">D85*$C$44+D86*$C$45+D87*$C$46</f>
        <v>0.07809375</v>
      </c>
      <c r="E101" s="7" t="n">
        <f aca="false">E85*$C$44+E86*$C$45+E87*$C$46</f>
        <v>0.15526875</v>
      </c>
      <c r="F101" s="7" t="n">
        <f aca="false">F85*$C$44+F86*$C$45+F87*$C$46</f>
        <v>0.2318796375</v>
      </c>
      <c r="G101" s="7" t="n">
        <f aca="false">G85*$C$44+G86*$C$45+G87*$C$46</f>
        <v>0.3082718625</v>
      </c>
      <c r="H101" s="7" t="n">
        <f aca="false">H85*$C$44+H86*$C$45+H87*$C$46</f>
        <v>0.384783434595</v>
      </c>
      <c r="I101" s="7" t="n">
        <f aca="false">I85*$C$44+I86*$C$45+I87*$C$46</f>
        <v>0.461746599363</v>
      </c>
      <c r="J101" s="7" t="n">
        <f aca="false">J85*$C$44+J86*$C$45+J87*$C$46</f>
        <v>0.539489453346102</v>
      </c>
      <c r="K101" s="7" t="n">
        <f aca="false">K85*$C$44+K86*$C$45+K87*$C$46</f>
        <v>0.618337506429426</v>
      </c>
      <c r="L101" s="7" t="n">
        <f aca="false">L85*$C$44+L86*$C$45+L87*$C$46</f>
        <v>0.69861519997991</v>
      </c>
      <c r="M101" s="7" t="n">
        <f aca="false">M85*$C$44+M86*$C$45+M87*$C$46</f>
        <v>0.780647388713845</v>
      </c>
      <c r="N101" s="7" t="n">
        <f aca="false">N85*$C$44+N86*$C$45+N87*$C$46</f>
        <v>0.864760793915188</v>
      </c>
      <c r="O101" s="7" t="n">
        <f aca="false">O85*$C$44+O86*$C$45+O87*$C$46</f>
        <v>0.951285435323583</v>
      </c>
      <c r="P101" s="7" t="n">
        <f aca="false">P85*$C$44+P86*$C$45+P87*$C$46</f>
        <v>1.04055604874914</v>
      </c>
      <c r="Q101" s="7" t="n">
        <f aca="false">Q85*$C$44+Q86*$C$45+Q87*$C$46</f>
        <v>1.1329134962482</v>
      </c>
      <c r="R101" s="7" t="n">
        <f aca="false">R85*$C$44+R86*$C$45+R87*$C$46</f>
        <v>1.2287061755086</v>
      </c>
      <c r="S101" s="7" t="n">
        <f aca="false">S85*$C$44+S86*$C$45+S87*$C$46</f>
        <v>1.32829143494246</v>
      </c>
      <c r="T101" s="7" t="n">
        <f aca="false">T85*$C$44+T86*$C$45+T87*$C$46</f>
        <v>1.43203700086815</v>
      </c>
      <c r="U101" s="7" t="n">
        <f aca="false">U85*$C$44+U86*$C$45+U87*$C$46</f>
        <v>1.54032242307886</v>
      </c>
      <c r="V101" s="7" t="n">
        <f aca="false">V85*$C$44+V86*$C$45+V87*$C$46</f>
        <v>1.65354054504236</v>
      </c>
      <c r="W101" s="7" t="n">
        <f aca="false">W85*$C$44+W86*$C$45+W87*$C$46</f>
        <v>1.77209900495464</v>
      </c>
      <c r="X101" s="7" t="n">
        <f aca="false">X85*$C$44+X86*$C$45+X87*$C$46</f>
        <v>1.89642177387671</v>
      </c>
      <c r="Y101" s="7" t="n">
        <f aca="false">Y85*$C$44+Y86*$C$45+Y87*$C$46</f>
        <v>2.02695073722046</v>
      </c>
      <c r="Z101" s="7" t="n">
        <f aca="false">Z85*$C$44+Z86*$C$45+Z87*$C$46</f>
        <v>2.16414732591369</v>
      </c>
      <c r="AA101" s="7" t="n">
        <f aca="false">AA85*$C$44+AA86*$C$45+AA87*$C$46</f>
        <v>2.30849420366735</v>
      </c>
      <c r="AB101" s="7" t="n">
        <f aca="false">AB85*$C$44+AB86*$C$45+AB87*$C$46</f>
        <v>2.46049701688824</v>
      </c>
      <c r="AC101" s="7" t="n">
        <f aca="false">AC85*$C$44+AC86*$C$45+AC87*$C$46</f>
        <v>2.62068621392873</v>
      </c>
      <c r="AD101" s="7" t="n">
        <f aca="false">AD85*$C$44+AD86*$C$45+AD87*$C$46</f>
        <v>2.78961894054153</v>
      </c>
      <c r="AE101" s="7" t="n">
        <f aca="false">AE85*$C$44+AE86*$C$45+AE87*$C$46</f>
        <v>2.96788101861105</v>
      </c>
      <c r="AF101" s="7" t="n">
        <f aca="false">AF85*$C$44+AF86*$C$45+AF87*$C$46</f>
        <v>3.15608901546617</v>
      </c>
      <c r="AG101" s="7" t="n">
        <f aca="false">AG85*$C$44+AG86*$C$45+AG87*$C$46</f>
        <v>3.35489241133997</v>
      </c>
      <c r="AH101" s="7" t="n">
        <f aca="false">AH85*$C$44+AH86*$C$45+AH87*$C$46</f>
        <v>3.564975872833</v>
      </c>
      <c r="AI101" s="7" t="n">
        <f aca="false">AI85*$C$44+AI86*$C$45+AI87*$C$46</f>
        <v>3.78706164055732</v>
      </c>
      <c r="AJ101" s="7" t="n">
        <f aca="false">AJ85*$C$44+AJ86*$C$45+AJ87*$C$46</f>
        <v>4.02191203949026</v>
      </c>
      <c r="AK101" s="7" t="n">
        <f aca="false">AK85*$C$44+AK86*$C$45+AK87*$C$46</f>
        <v>4.27033212095032</v>
      </c>
      <c r="AL101" s="7" t="n">
        <f aca="false">AL85*$C$44+AL86*$C$45+AL87*$C$46</f>
        <v>4.53317244552397</v>
      </c>
      <c r="AM101" s="7" t="n">
        <f aca="false">AM85*$C$44+AM86*$C$45+AM87*$C$46</f>
        <v>4.81133201672275</v>
      </c>
      <c r="AN101" s="7" t="n">
        <f aca="false">AN85*$C$44+AN86*$C$45+AN87*$C$46</f>
        <v>5.10576137563595</v>
      </c>
      <c r="AO101" s="7" t="n">
        <f aca="false">AO85*$C$44+AO86*$C$45+AO87*$C$46</f>
        <v>5.41746586736704</v>
      </c>
      <c r="AP101" s="7" t="n">
        <f aca="false">AP85*$C$44+AP86*$C$45+AP87*$C$46</f>
        <v>5.74750909060349</v>
      </c>
      <c r="AQ101" s="7" t="n">
        <f aca="false">AQ85*$C$44+AQ86*$C$45+AQ87*$C$46</f>
        <v>6.09701654227129</v>
      </c>
      <c r="AR101" s="7" t="n">
        <f aca="false">AR85*$C$44+AR86*$C$45+AR87*$C$46</f>
        <v>6.46717946986939</v>
      </c>
      <c r="AS101" s="7" t="n">
        <f aca="false">AS85*$C$44+AS86*$C$45+AS87*$C$46</f>
        <v>6.85925894476746</v>
      </c>
      <c r="AT101" s="7" t="n">
        <f aca="false">AT85*$C$44+AT86*$C$45+AT87*$C$46</f>
        <v>7.27459017048503</v>
      </c>
      <c r="AU101" s="7" t="n">
        <f aca="false">AU85*$C$44+AU86*$C$45+AU87*$C$46</f>
        <v>7.71458704075349</v>
      </c>
      <c r="AV101" s="7" t="n">
        <f aca="false">AV85*$C$44+AV86*$C$45+AV87*$C$46</f>
        <v>8.18074696299745</v>
      </c>
      <c r="AW101" s="7" t="n">
        <f aca="false">AW85*$C$44+AW86*$C$45+AW87*$C$46</f>
        <v>8.67465596376094</v>
      </c>
      <c r="AX101" s="7" t="n">
        <f aca="false">AX85*$C$44+AX86*$C$45+AX87*$C$46</f>
        <v>9.19799409355021</v>
      </c>
      <c r="AY101" s="7" t="n">
        <f aca="false">AY85*$C$44+AY86*$C$45+AY87*$C$46</f>
        <v>9.75254114957128</v>
      </c>
      <c r="AZ101" s="7" t="n">
        <f aca="false">AZ85*$C$44+AZ86*$C$45+AZ87*$C$46</f>
        <v>10.3401827359104</v>
      </c>
      <c r="BA101" s="7" t="n">
        <f aca="false">BA85*$C$44+BA86*$C$45+BA87*$C$46</f>
        <v>10.9629166818428</v>
      </c>
      <c r="BB101" s="7" t="n">
        <f aca="false">BB85*$C$44+BB86*$C$45+BB87*$C$46</f>
        <v>11.6228598401629</v>
      </c>
      <c r="BC101" s="7" t="n">
        <f aca="false">BC85*$C$44+BC86*$C$45+BC87*$C$46</f>
        <v>12.3222552887129</v>
      </c>
      <c r="BD101" s="7" t="n">
        <f aca="false">BD85*$C$44+BD86*$C$45+BD87*$C$46</f>
        <v>13.0634799596488</v>
      </c>
      <c r="BE101" s="7" t="n">
        <f aca="false">BE85*$C$44+BE86*$C$45+BE87*$C$46</f>
        <v>13.8490527224285</v>
      </c>
      <c r="BF101" s="7" t="n">
        <f aca="false">BF85*$C$44+BF86*$C$45+BF87*$C$46</f>
        <v>14.681642948043</v>
      </c>
      <c r="BG101" s="7" t="n">
        <f aca="false">BG85*$C$44+BG86*$C$45+BG87*$C$46</f>
        <v>15.5640795836398</v>
      </c>
      <c r="BH101" s="7" t="n">
        <f aca="false">BH85*$C$44+BH86*$C$45+BH87*$C$46</f>
        <v>16.4993607684167</v>
      </c>
      <c r="BI101" s="7" t="n">
        <f aca="false">BI85*$C$44+BI86*$C$45+BI87*$C$46</f>
        <v>17.4906640234965</v>
      </c>
      <c r="BJ101" s="7" t="n">
        <f aca="false">BJ85*$C$44+BJ86*$C$45+BJ87*$C$46</f>
        <v>18.5413570504402</v>
      </c>
      <c r="BK101" s="7" t="n">
        <f aca="false">BK85*$C$44+BK86*$C$45+BK87*$C$46</f>
        <v>19.6550091751182</v>
      </c>
    </row>
    <row r="102" customFormat="false" ht="15" hidden="false" customHeight="false" outlineLevel="0" collapsed="false">
      <c r="A102" s="0" t="s">
        <v>207</v>
      </c>
      <c r="D102" s="7" t="n">
        <f aca="false">SUM($D74:D74)*0+$C$60*D74*$C$62</f>
        <v>0</v>
      </c>
      <c r="E102" s="7" t="n">
        <f aca="false">SUM($D74:E74)*0+$C$60*E74*$C$62</f>
        <v>0</v>
      </c>
      <c r="F102" s="7" t="n">
        <f aca="false">SUM($D74:F74)*0+$C$60*F74*$C$62</f>
        <v>0</v>
      </c>
      <c r="G102" s="7" t="n">
        <f aca="false">SUM($D74:G74)*0+$C$60*G74*$C$62</f>
        <v>0</v>
      </c>
      <c r="H102" s="7" t="n">
        <f aca="false">SUM($D74:H74)*0+$C$60*H74*$C$62</f>
        <v>0</v>
      </c>
      <c r="I102" s="7" t="n">
        <f aca="false">SUM($D74:I74)*0+$C$60*I74*$C$62</f>
        <v>0</v>
      </c>
      <c r="J102" s="7" t="n">
        <f aca="false">SUM($D74:J74)*0+$C$60*J74*$C$62</f>
        <v>0</v>
      </c>
      <c r="K102" s="7" t="n">
        <f aca="false">SUM($D74:K74)*0+$C$60*K74*$C$62</f>
        <v>0</v>
      </c>
      <c r="L102" s="7" t="n">
        <f aca="false">SUM($D74:L74)*0+$C$60*L74*$C$62</f>
        <v>0</v>
      </c>
      <c r="M102" s="7" t="n">
        <f aca="false">SUM($D74:M74)*0+$C$60*M74*$C$62</f>
        <v>0</v>
      </c>
      <c r="N102" s="7" t="n">
        <f aca="false">SUM($D74:N74)*0+$C$60*N74*$C$62</f>
        <v>0</v>
      </c>
      <c r="O102" s="7" t="n">
        <f aca="false">SUM($D74:O74)*0+$C$60*O74*$C$62</f>
        <v>0</v>
      </c>
      <c r="P102" s="7" t="n">
        <f aca="false">SUM($D74:P74)*0+$C$60*P74*$C$62</f>
        <v>0</v>
      </c>
      <c r="Q102" s="7" t="n">
        <f aca="false">SUM($D74:Q74)*0+$C$60*Q74*$C$62</f>
        <v>0</v>
      </c>
      <c r="R102" s="7" t="n">
        <f aca="false">SUM($D74:R74)*0+$C$60*R74*$C$62</f>
        <v>0</v>
      </c>
      <c r="S102" s="7" t="n">
        <f aca="false">SUM($D74:S74)*0+$C$60*S74*$C$62</f>
        <v>0</v>
      </c>
      <c r="T102" s="7" t="n">
        <f aca="false">SUM($D74:T74)*0+$C$60*T74*$C$62</f>
        <v>0</v>
      </c>
      <c r="U102" s="7" t="n">
        <f aca="false">SUM($D74:U74)*0+$C$60*U74*$C$62</f>
        <v>0</v>
      </c>
      <c r="V102" s="7" t="n">
        <f aca="false">SUM($D74:V74)*0+$C$60*V74*$C$62</f>
        <v>0</v>
      </c>
      <c r="W102" s="7" t="n">
        <f aca="false">SUM($D74:W74)*0+$C$60*W74*$C$62</f>
        <v>0</v>
      </c>
      <c r="X102" s="7" t="n">
        <f aca="false">SUM($D74:X74)*0+$C$60*X74*$C$62</f>
        <v>0</v>
      </c>
      <c r="Y102" s="7" t="n">
        <f aca="false">SUM($D74:Y74)*0+$C$60*Y74*$C$62</f>
        <v>0</v>
      </c>
      <c r="Z102" s="7" t="n">
        <f aca="false">SUM($D74:Z74)*0+$C$60*Z74*$C$62</f>
        <v>0</v>
      </c>
      <c r="AA102" s="7" t="n">
        <f aca="false">SUM($D74:AA74)*0+$C$60*AA74*$C$62</f>
        <v>0</v>
      </c>
      <c r="AB102" s="7" t="n">
        <f aca="false">SUM($D74:AB74)*0+$C$60*AB74*$C$62</f>
        <v>0</v>
      </c>
      <c r="AC102" s="7" t="n">
        <f aca="false">SUM($D74:AC74)*0+$C$60*AC74*$C$62</f>
        <v>0</v>
      </c>
      <c r="AD102" s="7" t="n">
        <f aca="false">SUM($D74:AD74)*0+$C$60*AD74*$C$62</f>
        <v>0</v>
      </c>
      <c r="AE102" s="7" t="n">
        <f aca="false">SUM($D74:AE74)*0+$C$60*AE74*$C$62</f>
        <v>0</v>
      </c>
      <c r="AF102" s="7" t="n">
        <f aca="false">SUM($D74:AF74)*0+$C$60*AF74*$C$62</f>
        <v>0</v>
      </c>
      <c r="AG102" s="7" t="n">
        <f aca="false">SUM($D74:AG74)*0+$C$60*AG74*$C$62</f>
        <v>0</v>
      </c>
      <c r="AH102" s="7" t="n">
        <f aca="false">SUM($D74:AH74)*0+$C$60*AH74*$C$62</f>
        <v>0</v>
      </c>
      <c r="AI102" s="7" t="n">
        <f aca="false">SUM($D74:AI74)*0+$C$60*AI74*$C$62</f>
        <v>0</v>
      </c>
      <c r="AJ102" s="7" t="n">
        <f aca="false">SUM($D74:AJ74)*0+$C$60*AJ74*$C$62</f>
        <v>0</v>
      </c>
      <c r="AK102" s="7" t="n">
        <f aca="false">SUM($D74:AK74)*0+$C$60*AK74*$C$62</f>
        <v>0</v>
      </c>
      <c r="AL102" s="7" t="n">
        <f aca="false">SUM($D74:AL74)*0+$C$60*AL74*$C$62</f>
        <v>0</v>
      </c>
      <c r="AM102" s="7" t="n">
        <f aca="false">SUM($D74:AM74)*0+$C$60*AM74*$C$62</f>
        <v>0</v>
      </c>
      <c r="AN102" s="7" t="n">
        <f aca="false">SUM($D74:AN74)*0+$C$60*AN74*$C$62</f>
        <v>0</v>
      </c>
      <c r="AO102" s="7" t="n">
        <f aca="false">SUM($D74:AO74)*0+$C$60*AO74*$C$62</f>
        <v>0</v>
      </c>
      <c r="AP102" s="7" t="n">
        <f aca="false">SUM($D74:AP74)*0+$C$60*AP74*$C$62</f>
        <v>0</v>
      </c>
      <c r="AQ102" s="7" t="n">
        <f aca="false">SUM($D74:AQ74)*0+$C$60*AQ74*$C$62</f>
        <v>0</v>
      </c>
      <c r="AR102" s="7" t="n">
        <f aca="false">SUM($D74:AR74)*0+$C$60*AR74*$C$62</f>
        <v>0</v>
      </c>
      <c r="AS102" s="7" t="n">
        <f aca="false">SUM($D74:AS74)*0+$C$60*AS74*$C$62</f>
        <v>0</v>
      </c>
      <c r="AT102" s="7" t="n">
        <f aca="false">SUM($D74:AT74)*0+$C$60*AT74*$C$62</f>
        <v>0</v>
      </c>
      <c r="AU102" s="7" t="n">
        <f aca="false">SUM($D74:AU74)*0+$C$60*AU74*$C$62</f>
        <v>0</v>
      </c>
      <c r="AV102" s="7" t="n">
        <f aca="false">SUM($D74:AV74)*0+$C$60*AV74*$C$62</f>
        <v>0</v>
      </c>
      <c r="AW102" s="7" t="n">
        <f aca="false">SUM($D74:AW74)*0+$C$60*AW74*$C$62</f>
        <v>0</v>
      </c>
      <c r="AX102" s="7" t="n">
        <f aca="false">SUM($D74:AX74)*0+$C$60*AX74*$C$62</f>
        <v>0</v>
      </c>
      <c r="AY102" s="7" t="n">
        <f aca="false">SUM($D74:AY74)*0+$C$60*AY74*$C$62</f>
        <v>0</v>
      </c>
      <c r="AZ102" s="7" t="n">
        <f aca="false">SUM($D74:AZ74)*0+$C$60*AZ74*$C$62</f>
        <v>0</v>
      </c>
      <c r="BA102" s="7" t="n">
        <f aca="false">SUM($D74:BA74)*0+$C$60*BA74*$C$62</f>
        <v>0</v>
      </c>
      <c r="BB102" s="7" t="n">
        <f aca="false">SUM($D74:BB74)*0+$C$60*BB74*$C$62</f>
        <v>0</v>
      </c>
      <c r="BC102" s="7" t="n">
        <f aca="false">SUM($D74:BC74)*0+$C$60*BC74*$C$62</f>
        <v>0</v>
      </c>
      <c r="BD102" s="7" t="n">
        <f aca="false">SUM($D74:BD74)*0+$C$60*BD74*$C$62</f>
        <v>0</v>
      </c>
      <c r="BE102" s="7" t="n">
        <f aca="false">SUM($D74:BE74)*0+$C$60*BE74*$C$62</f>
        <v>0</v>
      </c>
      <c r="BF102" s="7" t="n">
        <f aca="false">SUM($D74:BF74)*0+$C$60*BF74*$C$62</f>
        <v>0</v>
      </c>
      <c r="BG102" s="7" t="n">
        <f aca="false">SUM($D74:BG74)*0+$C$60*BG74*$C$62</f>
        <v>0</v>
      </c>
      <c r="BH102" s="7" t="n">
        <f aca="false">SUM($D74:BH74)*0+$C$60*BH74*$C$62</f>
        <v>0</v>
      </c>
      <c r="BI102" s="7" t="n">
        <f aca="false">SUM($D74:BI74)*0+$C$60*BI74*$C$62</f>
        <v>0</v>
      </c>
      <c r="BJ102" s="7" t="n">
        <f aca="false">SUM($D74:BJ74)*0+$C$60*BJ74*$C$62</f>
        <v>0</v>
      </c>
      <c r="BK102" s="7" t="n">
        <f aca="false">SUM($D74:BK74)*0+$C$60*BK74*$C$62</f>
        <v>0</v>
      </c>
    </row>
    <row r="103" customFormat="false" ht="15" hidden="false" customHeight="false" outlineLevel="0" collapsed="false">
      <c r="A103" s="0" t="s">
        <v>208</v>
      </c>
      <c r="D103" s="7" t="n">
        <f aca="false">(D100+D101+D102)*$C$18</f>
        <v>0.0167395317757629</v>
      </c>
      <c r="E103" s="7" t="n">
        <f aca="false">(E100+E101+E102)*$C$18</f>
        <v>0.033028174600562</v>
      </c>
      <c r="F103" s="7" t="n">
        <f aca="false">(F100+F101+F102)*$C$18</f>
        <v>0.048974171859358</v>
      </c>
      <c r="G103" s="7" t="n">
        <f aca="false">(G100+G101+G102)*$C$18</f>
        <v>0.064678876056704</v>
      </c>
      <c r="H103" s="7" t="n">
        <f aca="false">(H100+H101+H102)*$C$18</f>
        <v>0.0802377314106902</v>
      </c>
      <c r="I103" s="7" t="n">
        <f aca="false">(I100+I101+I102)*$C$18</f>
        <v>0.0957411636258983</v>
      </c>
      <c r="J103" s="7" t="n">
        <f aca="false">(J100+J101+J102)*$C$18</f>
        <v>0.111275388293455</v>
      </c>
      <c r="K103" s="7" t="n">
        <f aca="false">(K100+K101+K102)*$C$18</f>
        <v>0.126923148102907</v>
      </c>
      <c r="L103" s="7" t="n">
        <f aca="false">(L100+L101+L102)*$C$18</f>
        <v>0.142764387938367</v>
      </c>
      <c r="M103" s="7" t="n">
        <f aca="false">(M100+M101+M102)*$C$18</f>
        <v>0.158876875952653</v>
      </c>
      <c r="N103" s="7" t="n">
        <f aca="false">(N100+N101+N102)*$C$18</f>
        <v>0.175336777852344</v>
      </c>
      <c r="O103" s="7" t="n">
        <f aca="false">(O100+O101+O102)*$C$18</f>
        <v>0.192219190870309</v>
      </c>
      <c r="P103" s="7" t="n">
        <f aca="false">(P100+P101+P102)*$C$18</f>
        <v>0.20959864323815</v>
      </c>
      <c r="Q103" s="7" t="n">
        <f aca="false">(Q100+Q101+Q102)*$C$18</f>
        <v>0.227549564388639</v>
      </c>
      <c r="R103" s="7" t="n">
        <f aca="false">(R100+R101+R102)*$C$18</f>
        <v>0.246146730608311</v>
      </c>
      <c r="S103" s="7" t="n">
        <f aca="false">(S100+S101+S102)*$C$18</f>
        <v>0.265465690414636</v>
      </c>
      <c r="T103" s="7" t="n">
        <f aca="false">(T100+T101+T102)*$C$18</f>
        <v>0.285583173543518</v>
      </c>
      <c r="U103" s="7" t="n">
        <f aca="false">(U100+U101+U102)*$C$18</f>
        <v>0.30657748709478</v>
      </c>
      <c r="V103" s="7" t="n">
        <f aca="false">(V100+V101+V102)*$C$18</f>
        <v>0.328528902090418</v>
      </c>
      <c r="W103" s="7" t="n">
        <f aca="false">(W100+W101+W102)*$C$18</f>
        <v>0.351520033447606</v>
      </c>
      <c r="X103" s="7" t="n">
        <f aca="false">(X100+X101+X102)*$C$18</f>
        <v>0.375636216151654</v>
      </c>
      <c r="Y103" s="7" t="n">
        <f aca="false">(Y100+Y101+Y102)*$C$18</f>
        <v>0.40096588022939</v>
      </c>
      <c r="Z103" s="7" t="n">
        <f aca="false">(Z100+Z101+Z102)*$C$18</f>
        <v>0.427600926967628</v>
      </c>
      <c r="AA103" s="7" t="n">
        <f aca="false">(AA100+AA101+AA102)*$C$18</f>
        <v>0.455637108691481</v>
      </c>
      <c r="AB103" s="7" t="n">
        <f aca="false">(AB100+AB101+AB102)*$C$18</f>
        <v>0.485174414310842</v>
      </c>
      <c r="AC103" s="7" t="n">
        <f aca="false">(AC100+AC101+AC102)*$C$18</f>
        <v>0.516317462758185</v>
      </c>
      <c r="AD103" s="7" t="n">
        <f aca="false">(AD100+AD101+AD102)*$C$18</f>
        <v>0.549175906374993</v>
      </c>
      <c r="AE103" s="7" t="n">
        <f aca="false">(AE100+AE101+AE102)*$C$18</f>
        <v>0.583864846256005</v>
      </c>
      <c r="AF103" s="7" t="n">
        <f aca="false">(AF100+AF101+AF102)*$C$18</f>
        <v>0.620505261528638</v>
      </c>
      <c r="AG103" s="7" t="n">
        <f aca="false">(AG100+AG101+AG102)*$C$18</f>
        <v>0.659224454528157</v>
      </c>
      <c r="AH103" s="7" t="n">
        <f aca="false">(AH100+AH101+AH102)*$C$18</f>
        <v>0.700156513826463</v>
      </c>
      <c r="AI103" s="7" t="n">
        <f aca="false">(AI100+AI101+AI102)*$C$18</f>
        <v>0.743442797082798</v>
      </c>
      <c r="AJ103" s="7" t="n">
        <f aca="false">(AJ100+AJ101+AJ102)*$C$18</f>
        <v>0.789232435707562</v>
      </c>
      <c r="AK103" s="7" t="n">
        <f aca="false">(AK100+AK101+AK102)*$C$18</f>
        <v>0.837682863365168</v>
      </c>
      <c r="AL103" s="7" t="n">
        <f aca="false">(AL100+AL101+AL102)*$C$18</f>
        <v>0.888960370388</v>
      </c>
      <c r="AM103" s="7" t="n">
        <f aca="false">(AM100+AM101+AM102)*$C$18</f>
        <v>0.943240686230645</v>
      </c>
      <c r="AN103" s="7" t="n">
        <f aca="false">(AN100+AN101+AN102)*$C$18</f>
        <v>1.00070959216147</v>
      </c>
      <c r="AO103" s="7" t="n">
        <f aca="false">(AO100+AO101+AO102)*$C$18</f>
        <v>1.06156356646707</v>
      </c>
      <c r="AP103" s="7" t="n">
        <f aca="false">(AP100+AP101+AP102)*$C$18</f>
        <v>1.126010464534</v>
      </c>
      <c r="AQ103" s="7" t="n">
        <f aca="false">(AQ100+AQ101+AQ102)*$C$18</f>
        <v>1.19427023627162</v>
      </c>
      <c r="AR103" s="7" t="n">
        <f aca="false">(AR100+AR101+AR102)*$C$18</f>
        <v>1.26657568344989</v>
      </c>
      <c r="AS103" s="7" t="n">
        <f aca="false">(AS100+AS101+AS102)*$C$18</f>
        <v>1.3431732596462</v>
      </c>
      <c r="AT103" s="7" t="n">
        <f aca="false">(AT100+AT101+AT102)*$C$18</f>
        <v>1.42432391562712</v>
      </c>
      <c r="AU103" s="7" t="n">
        <f aca="false">(AU100+AU101+AU102)*$C$18</f>
        <v>1.51030399313314</v>
      </c>
      <c r="AV103" s="7" t="n">
        <f aca="false">(AV100+AV101+AV102)*$C$18</f>
        <v>1.60140617018841</v>
      </c>
      <c r="AW103" s="7" t="n">
        <f aca="false">(AW100+AW101+AW102)*$C$18</f>
        <v>1.69794046122329</v>
      </c>
      <c r="AX103" s="7" t="n">
        <f aca="false">(AX100+AX101+AX102)*$C$18</f>
        <v>1.80023527547508</v>
      </c>
      <c r="AY103" s="7" t="n">
        <f aca="false">(AY100+AY101+AY102)*$C$18</f>
        <v>1.90863853732321</v>
      </c>
      <c r="AZ103" s="7" t="n">
        <f aca="false">(AZ100+AZ101+AZ102)*$C$18</f>
        <v>2.02351887241875</v>
      </c>
      <c r="BA103" s="7" t="n">
        <f aca="false">(BA100+BA101+BA102)*$C$18</f>
        <v>2.14526686368554</v>
      </c>
      <c r="BB103" s="7" t="n">
        <f aca="false">(BB100+BB101+BB102)*$C$18</f>
        <v>2.27429638150284</v>
      </c>
      <c r="BC103" s="7" t="n">
        <f aca="false">(BC100+BC101+BC102)*$C$18</f>
        <v>2.41104599262614</v>
      </c>
      <c r="BD103" s="7" t="n">
        <f aca="false">(BD100+BD101+BD102)*$C$18</f>
        <v>2.55598045266648</v>
      </c>
      <c r="BE103" s="7" t="n">
        <f aca="false">(BE100+BE101+BE102)*$C$18</f>
        <v>2.70959228722849</v>
      </c>
      <c r="BF103" s="7" t="n">
        <f aca="false">(BF100+BF101+BF102)*$C$18</f>
        <v>2.87240346710532</v>
      </c>
      <c r="BG103" s="7" t="n">
        <f aca="false">(BG100+BG101+BG102)*$C$18</f>
        <v>3.0449671832451</v>
      </c>
      <c r="BH103" s="7" t="n">
        <f aca="false">(BH100+BH101+BH102)*$C$18</f>
        <v>3.22786972753977</v>
      </c>
      <c r="BI103" s="7" t="n">
        <f aca="false">(BI100+BI101+BI102)*$C$18</f>
        <v>3.42173248584426</v>
      </c>
      <c r="BJ103" s="7" t="n">
        <f aca="false">(BJ100+BJ101+BJ102)*$C$18</f>
        <v>3.62721405001305</v>
      </c>
      <c r="BK103" s="7" t="n">
        <f aca="false">(BK100+BK101+BK102)*$C$18</f>
        <v>3.84501245614337</v>
      </c>
    </row>
    <row r="104" customFormat="false" ht="15" hidden="false" customHeight="false" outlineLevel="0" collapsed="false">
      <c r="A104" s="6" t="s">
        <v>209</v>
      </c>
      <c r="D104" s="7" t="n">
        <f aca="false">D96+D97-D99-D100-D101-D102-D103</f>
        <v>1.5545374501848</v>
      </c>
      <c r="E104" s="7" t="n">
        <f aca="false">E96+E97-E99-E100-E101-E102-E103</f>
        <v>3.11201751912843</v>
      </c>
      <c r="F104" s="7" t="n">
        <f aca="false">F96+F97-F99-F100-F101-F102-F103</f>
        <v>4.62861109700274</v>
      </c>
      <c r="G104" s="7" t="n">
        <f aca="false">G96+G97-G99-G100-G101-G102-G103</f>
        <v>6.11505898882138</v>
      </c>
      <c r="H104" s="7" t="n">
        <f aca="false">H96+H97-H99-H100-H101-H102-H103</f>
        <v>7.5813742680056</v>
      </c>
      <c r="I104" s="7" t="n">
        <f aca="false">I96+I97-I99-I100-I101-I102-I103</f>
        <v>9.03694776611025</v>
      </c>
      <c r="J104" s="7" t="n">
        <f aca="false">J96+J97-J99-J100-J101-J102-J103</f>
        <v>10.4906431513366</v>
      </c>
      <c r="K104" s="7" t="n">
        <f aca="false">K96+K97-K99-K100-K101-K102-K103</f>
        <v>11.950882892372</v>
      </c>
      <c r="L104" s="7" t="n">
        <f aca="false">L96+L97-L99-L100-L101-L102-L103</f>
        <v>13.4257262580566</v>
      </c>
      <c r="M104" s="7" t="n">
        <f aca="false">M96+M97-M99-M100-M101-M102-M103</f>
        <v>14.9229403749202</v>
      </c>
      <c r="N104" s="7" t="n">
        <f aca="false">N96+N97-N99-N100-N101-N102-N103</f>
        <v>16.4500652516793</v>
      </c>
      <c r="O104" s="7" t="n">
        <f aca="false">O96+O97-O99-O100-O101-O102-O103</f>
        <v>18.0144735805363</v>
      </c>
      <c r="P104" s="7" t="n">
        <f aca="false">P96+P97-P99-P100-P101-P102-P103</f>
        <v>19.6234260379571</v>
      </c>
      <c r="Q104" s="7" t="n">
        <f aca="false">Q96+Q97-Q99-Q100-Q101-Q102-Q103</f>
        <v>21.2841227311328</v>
      </c>
      <c r="R104" s="7" t="n">
        <f aca="false">R96+R97-R99-R100-R101-R102-R103</f>
        <v>23.0037513692965</v>
      </c>
      <c r="S104" s="7" t="n">
        <f aca="false">S96+S97-S99-S100-S101-S102-S103</f>
        <v>24.7895326803966</v>
      </c>
      <c r="T104" s="7" t="n">
        <f aca="false">T96+T97-T99-T100-T101-T102-T103</f>
        <v>26.6487635423447</v>
      </c>
      <c r="U104" s="7" t="n">
        <f aca="false">U96+U97-U99-U100-U101-U102-U103</f>
        <v>28.5888582533336</v>
      </c>
      <c r="V104" s="7" t="n">
        <f aca="false">V96+V97-V99-V100-V101-V102-V103</f>
        <v>30.6173883268039</v>
      </c>
      <c r="W104" s="7" t="n">
        <f aca="false">W96+W97-W99-W100-W101-W102-W103</f>
        <v>32.7421211628836</v>
      </c>
      <c r="X104" s="7" t="n">
        <f aca="false">X96+X97-X99-X100-X101-X102-X103</f>
        <v>34.9710579189604</v>
      </c>
      <c r="Y104" s="7" t="n">
        <f aca="false">Y96+Y97-Y99-Y100-Y101-Y102-Y103</f>
        <v>37.3124708769628</v>
      </c>
      <c r="Z104" s="7" t="n">
        <f aca="false">Z96+Z97-Z99-Z100-Z101-Z102-Z103</f>
        <v>39.7749405834963</v>
      </c>
      <c r="AA104" s="7" t="n">
        <f aca="false">AA96+AA97-AA99-AA100-AA101-AA102-AA103</f>
        <v>42.3673930208052</v>
      </c>
      <c r="AB104" s="7" t="n">
        <f aca="false">AB96+AB97-AB99-AB100-AB101-AB102-AB103</f>
        <v>45.0991370512856</v>
      </c>
      <c r="AC104" s="7" t="n">
        <f aca="false">AC96+AC97-AC99-AC100-AC101-AC102-AC103</f>
        <v>47.9799023656517</v>
      </c>
      <c r="AD104" s="7" t="n">
        <f aca="false">AD96+AD97-AD99-AD100-AD101-AD102-AD103</f>
        <v>51.0198781546172</v>
      </c>
      <c r="AE104" s="7" t="n">
        <f aca="false">AE96+AE97-AE99-AE100-AE101-AE102-AE103</f>
        <v>54.2297527158547</v>
      </c>
      <c r="AF104" s="7" t="n">
        <f aca="false">AF96+AF97-AF99-AF100-AF101-AF102-AF103</f>
        <v>57.6207542018574</v>
      </c>
      <c r="AG104" s="7" t="n">
        <f aca="false">AG96+AG97-AG99-AG100-AG101-AG102-AG103</f>
        <v>61.2046927099801</v>
      </c>
      <c r="AH104" s="7" t="n">
        <f aca="false">AH96+AH97-AH99-AH100-AH101-AH102-AH103</f>
        <v>64.9940039132311</v>
      </c>
      <c r="AI104" s="7" t="n">
        <f aca="false">AI96+AI97-AI99-AI100-AI101-AI102-AI103</f>
        <v>69.001794429208</v>
      </c>
      <c r="AJ104" s="7" t="n">
        <f aca="false">AJ96+AJ97-AJ99-AJ100-AJ101-AJ102-AJ103</f>
        <v>73.2418891248095</v>
      </c>
      <c r="AK104" s="7" t="n">
        <f aca="false">AK96+AK97-AK99-AK100-AK101-AK102-AK103</f>
        <v>77.7288805559242</v>
      </c>
      <c r="AL104" s="7" t="n">
        <f aca="false">AL96+AL97-AL99-AL100-AL101-AL102-AL103</f>
        <v>82.4781807441323</v>
      </c>
      <c r="AM104" s="7" t="n">
        <f aca="false">AM96+AM97-AM99-AM100-AM101-AM102-AM103</f>
        <v>87.5060754964811</v>
      </c>
      <c r="AN104" s="7" t="n">
        <f aca="false">AN96+AN97-AN99-AN100-AN101-AN102-AN103</f>
        <v>92.8297814795842</v>
      </c>
      <c r="AO104" s="7" t="n">
        <f aca="false">AO96+AO97-AO99-AO100-AO101-AO102-AO103</f>
        <v>98.4675062655956</v>
      </c>
      <c r="AP104" s="7" t="n">
        <f aca="false">AP96+AP97-AP99-AP100-AP101-AP102-AP103</f>
        <v>104.438511575002</v>
      </c>
      <c r="AQ104" s="7" t="n">
        <f aca="false">AQ96+AQ97-AQ99-AQ100-AQ101-AQ102-AQ103</f>
        <v>110.763179949652</v>
      </c>
      <c r="AR104" s="7" t="n">
        <f aca="false">AR96+AR97-AR99-AR100-AR101-AR102-AR103</f>
        <v>117.463085098978</v>
      </c>
      <c r="AS104" s="7" t="n">
        <f aca="false">AS96+AS97-AS99-AS100-AS101-AS102-AS103</f>
        <v>124.561066172974</v>
      </c>
      <c r="AT104" s="7" t="n">
        <f aca="false">AT96+AT97-AT99-AT100-AT101-AT102-AT103</f>
        <v>132.081306227178</v>
      </c>
      <c r="AU104" s="7" t="n">
        <f aca="false">AU96+AU97-AU99-AU100-AU101-AU102-AU103</f>
        <v>140.049415157677</v>
      </c>
      <c r="AV104" s="7" t="n">
        <f aca="false">AV96+AV97-AV99-AV100-AV101-AV102-AV103</f>
        <v>148.492517398054</v>
      </c>
      <c r="AW104" s="7" t="n">
        <f aca="false">AW96+AW97-AW99-AW100-AW101-AW102-AW103</f>
        <v>157.439344685205</v>
      </c>
      <c r="AX104" s="7" t="n">
        <f aca="false">AX96+AX97-AX99-AX100-AX101-AX102-AX103</f>
        <v>166.920334217159</v>
      </c>
      <c r="AY104" s="7" t="n">
        <f aca="false">AY96+AY97-AY99-AY100-AY101-AY102-AY103</f>
        <v>176.967732543462</v>
      </c>
      <c r="AZ104" s="7" t="n">
        <f aca="false">AZ96+AZ97-AZ99-AZ100-AZ101-AZ102-AZ103</f>
        <v>187.615705547326</v>
      </c>
      <c r="BA104" s="7" t="n">
        <f aca="false">BA96+BA97-BA99-BA100-BA101-BA102-BA103</f>
        <v>198.900454898773</v>
      </c>
      <c r="BB104" s="7" t="n">
        <f aca="false">BB96+BB97-BB99-BB100-BB101-BB102-BB103</f>
        <v>210.860341379301</v>
      </c>
      <c r="BC104" s="7" t="n">
        <f aca="false">BC96+BC97-BC99-BC100-BC101-BC102-BC103</f>
        <v>223.53601550142</v>
      </c>
      <c r="BD104" s="7" t="n">
        <f aca="false">BD96+BD97-BD99-BD100-BD101-BD102-BD103</f>
        <v>236.970555870681</v>
      </c>
      <c r="BE104" s="7" t="n">
        <f aca="false">BE96+BE97-BE99-BE100-BE101-BE102-BE103</f>
        <v>251.209615763665</v>
      </c>
      <c r="BF104" s="7" t="n">
        <f aca="false">BF96+BF97-BF99-BF100-BF101-BF102-BF103</f>
        <v>266.301578422916</v>
      </c>
      <c r="BG104" s="7" t="n">
        <f aca="false">BG96+BG97-BG99-BG100-BG101-BG102-BG103</f>
        <v>282.297721599092</v>
      </c>
      <c r="BH104" s="7" t="n">
        <f aca="false">BH96+BH97-BH99-BH100-BH101-BH102-BH103</f>
        <v>299.252391901653</v>
      </c>
      <c r="BI104" s="7" t="n">
        <f aca="false">BI96+BI97-BI99-BI100-BI101-BI102-BI103</f>
        <v>317.223189552502</v>
      </c>
      <c r="BJ104" s="7" t="n">
        <f aca="false">BJ96+BJ97-BJ99-BJ100-BJ101-BJ102-BJ103</f>
        <v>336.271164172041</v>
      </c>
      <c r="BK104" s="7" t="n">
        <f aca="false">BK96+BK97-BK99-BK100-BK101-BK102-BK103</f>
        <v>356.461022264376</v>
      </c>
    </row>
    <row r="105" customFormat="false" ht="15" hidden="false" customHeight="false" outlineLevel="0" collapsed="false">
      <c r="A105" s="0" t="s">
        <v>210</v>
      </c>
      <c r="D105" s="31" t="n">
        <f aca="false">IF((D96+D97)&gt;0,D104/(D96+D97),0)</f>
        <v>0.788773247891408</v>
      </c>
      <c r="E105" s="31" t="n">
        <f aca="false">IF((E96+E97)&gt;0,E104/(E96+E97),0)</f>
        <v>0.790927344255121</v>
      </c>
      <c r="F105" s="31" t="n">
        <f aca="false">IF((F96+F97)&gt;0,F104/(F96+F97),0)</f>
        <v>0.791441272987664</v>
      </c>
      <c r="G105" s="31" t="n">
        <f aca="false">IF((G96+G97)&gt;0,G104/(G96+G97),0)</f>
        <v>0.791567692297955</v>
      </c>
      <c r="H105" s="31" t="n">
        <f aca="false">IF((H96+H97)&gt;0,H104/(H96+H97),0)</f>
        <v>0.791551103106177</v>
      </c>
      <c r="I105" s="31" t="n">
        <f aca="false">IF((I96+I97)&gt;0,I104/(I96+I97),0)</f>
        <v>0.791471836801137</v>
      </c>
      <c r="J105" s="31" t="n">
        <f aca="false">IF((J96+J97)&gt;0,J104/(J96+J97),0)</f>
        <v>0.791363744961208</v>
      </c>
      <c r="K105" s="31" t="n">
        <f aca="false">IF((K96+K97)&gt;0,K104/(K96+K97),0)</f>
        <v>0.791243322153503</v>
      </c>
      <c r="L105" s="31" t="n">
        <f aca="false">IF((L96+L97)&gt;0,L104/(L96+L97),0)</f>
        <v>0.791119360838944</v>
      </c>
      <c r="M105" s="31" t="n">
        <f aca="false">IF((M96+M97)&gt;0,M104/(M96+M97),0)</f>
        <v>0.790996803615068</v>
      </c>
      <c r="N105" s="31" t="n">
        <f aca="false">IF((N96+N97)&gt;0,N104/(N96+N97),0)</f>
        <v>0.79087849431895</v>
      </c>
      <c r="O105" s="31" t="n">
        <f aca="false">IF((O96+O97)&gt;0,O104/(O96+O97),0)</f>
        <v>0.790766055999886</v>
      </c>
      <c r="P105" s="31" t="n">
        <f aca="false">IF((P96+P97)&gt;0,P104/(P96+P97),0)</f>
        <v>0.790660366394787</v>
      </c>
      <c r="Q105" s="31" t="n">
        <f aca="false">IF((Q96+Q97)&gt;0,Q104/(Q96+Q97),0)</f>
        <v>0.790561832042224</v>
      </c>
      <c r="R105" s="31" t="n">
        <f aca="false">IF((R96+R97)&gt;0,R104/(R96+R97),0)</f>
        <v>0.790470554693293</v>
      </c>
      <c r="S105" s="31" t="n">
        <f aca="false">IF((S96+S97)&gt;0,S104/(S96+S97),0)</f>
        <v>0.790386436777603</v>
      </c>
      <c r="T105" s="31" t="n">
        <f aca="false">IF((T96+T97)&gt;0,T104/(T96+T97),0)</f>
        <v>0.790309250665307</v>
      </c>
      <c r="U105" s="31" t="n">
        <f aca="false">IF((U96+U97)&gt;0,U104/(U96+U97),0)</f>
        <v>0.790238685483289</v>
      </c>
      <c r="V105" s="31" t="n">
        <f aca="false">IF((V96+V97)&gt;0,V104/(V96+V97),0)</f>
        <v>0.790174379476647</v>
      </c>
      <c r="W105" s="31" t="n">
        <f aca="false">IF((W96+W97)&gt;0,W104/(W96+W97),0)</f>
        <v>0.79011594274156</v>
      </c>
      <c r="X105" s="31" t="n">
        <f aca="false">IF((X96+X97)&gt;0,X104/(X96+X97),0)</f>
        <v>0.790062973350105</v>
      </c>
      <c r="Y105" s="31" t="n">
        <f aca="false">IF((Y96+Y97)&gt;0,Y104/(Y96+Y97),0)</f>
        <v>0.790015068821152</v>
      </c>
      <c r="Z105" s="31" t="n">
        <f aca="false">IF((Z96+Z97)&gt;0,Z104/(Z96+Z97),0)</f>
        <v>0.789971834241475</v>
      </c>
      <c r="AA105" s="31" t="n">
        <f aca="false">IF((AA96+AA97)&gt;0,AA104/(AA96+AA97),0)</f>
        <v>0.789932887933005</v>
      </c>
      <c r="AB105" s="31" t="n">
        <f aca="false">IF((AB96+AB97)&gt;0,AB104/(AB96+AB97),0)</f>
        <v>0.789897865298459</v>
      </c>
      <c r="AC105" s="31" t="n">
        <f aca="false">IF((AC96+AC97)&gt;0,AC104/(AC96+AC97),0)</f>
        <v>0.789866421302516</v>
      </c>
      <c r="AD105" s="31" t="n">
        <f aca="false">IF((AD96+AD97)&gt;0,AD104/(AD96+AD97),0)</f>
        <v>0.789838231926251</v>
      </c>
      <c r="AE105" s="31" t="n">
        <f aca="false">IF((AE96+AE97)&gt;0,AE104/(AE96+AE97),0)</f>
        <v>0.789812994848891</v>
      </c>
      <c r="AF105" s="31" t="n">
        <f aca="false">IF((AF96+AF97)&gt;0,AF104/(AF96+AF97),0)</f>
        <v>0.789790429550903</v>
      </c>
      <c r="AG105" s="31" t="n">
        <f aca="false">IF((AG96+AG97)&gt;0,AG104/(AG96+AG97),0)</f>
        <v>0.789770276988199</v>
      </c>
      <c r="AH105" s="31" t="n">
        <f aca="false">IF((AH96+AH97)&gt;0,AH104/(AH96+AH97),0)</f>
        <v>0.789752298954074</v>
      </c>
      <c r="AI105" s="31" t="n">
        <f aca="false">IF((AI96+AI97)&gt;0,AI104/(AI96+AI97),0)</f>
        <v>0.789736277220028</v>
      </c>
      <c r="AJ105" s="31" t="n">
        <f aca="false">IF((AJ96+AJ97)&gt;0,AJ104/(AJ96+AJ97),0)</f>
        <v>0.789722012526844</v>
      </c>
      <c r="AK105" s="31" t="n">
        <f aca="false">IF((AK96+AK97)&gt;0,AK104/(AK96+AK97),0)</f>
        <v>0.7897093234817</v>
      </c>
      <c r="AL105" s="31" t="n">
        <f aca="false">IF((AL96+AL97)&gt;0,AL104/(AL96+AL97),0)</f>
        <v>0.789698045404661</v>
      </c>
      <c r="AM105" s="31" t="n">
        <f aca="false">IF((AM96+AM97)&gt;0,AM104/(AM96+AM97),0)</f>
        <v>0.789688029157992</v>
      </c>
      <c r="AN105" s="31" t="n">
        <f aca="false">IF((AN96+AN97)&gt;0,AN104/(AN96+AN97),0)</f>
        <v>0.789679139983713</v>
      </c>
      <c r="AO105" s="31" t="n">
        <f aca="false">IF((AO96+AO97)&gt;0,AO104/(AO96+AO97),0)</f>
        <v>0.789671256368408</v>
      </c>
      <c r="AP105" s="31" t="n">
        <f aca="false">IF((AP96+AP97)&gt;0,AP104/(AP96+AP97),0)</f>
        <v>0.78966426894912</v>
      </c>
      <c r="AQ105" s="31" t="n">
        <f aca="false">IF((AQ96+AQ97)&gt;0,AQ104/(AQ96+AQ97),0)</f>
        <v>0.789658079470038</v>
      </c>
      <c r="AR105" s="31" t="n">
        <f aca="false">IF((AR96+AR97)&gt;0,AR104/(AR96+AR97),0)</f>
        <v>0.789652599796378</v>
      </c>
      <c r="AS105" s="31" t="n">
        <f aca="false">IF((AS96+AS97)&gt;0,AS104/(AS96+AS97),0)</f>
        <v>0.789647750989251</v>
      </c>
      <c r="AT105" s="31" t="n">
        <f aca="false">IF((AT96+AT97)&gt;0,AT104/(AT96+AT97),0)</f>
        <v>0.789643462443272</v>
      </c>
      <c r="AU105" s="31" t="n">
        <f aca="false">IF((AU96+AU97)&gt;0,AU104/(AU96+AU97),0)</f>
        <v>0.789639671087105</v>
      </c>
      <c r="AV105" s="31" t="n">
        <f aca="false">IF((AV96+AV97)&gt;0,AV104/(AV96+AV97),0)</f>
        <v>0.789636320645925</v>
      </c>
      <c r="AW105" s="31" t="n">
        <f aca="false">IF((AW96+AW97)&gt;0,AW104/(AW96+AW97),0)</f>
        <v>0.789633360963906</v>
      </c>
      <c r="AX105" s="31" t="n">
        <f aca="false">IF((AX96+AX97)&gt;0,AX104/(AX96+AX97),0)</f>
        <v>0.789630747384216</v>
      </c>
      <c r="AY105" s="31" t="n">
        <f aca="false">IF((AY96+AY97)&gt;0,AY104/(AY96+AY97),0)</f>
        <v>0.789628440183556</v>
      </c>
      <c r="AZ105" s="31" t="n">
        <f aca="false">IF((AZ96+AZ97)&gt;0,AZ104/(AZ96+AZ97),0)</f>
        <v>0.789626404058026</v>
      </c>
      <c r="BA105" s="31" t="n">
        <f aca="false">IF((BA96+BA97)&gt;0,BA104/(BA96+BA97),0)</f>
        <v>0.789624607656939</v>
      </c>
      <c r="BB105" s="31" t="n">
        <f aca="false">IF((BB96+BB97)&gt;0,BB104/(BB96+BB97),0)</f>
        <v>0.789623023161166</v>
      </c>
      <c r="BC105" s="31" t="n">
        <f aca="false">IF((BC96+BC97)&gt;0,BC104/(BC96+BC97),0)</f>
        <v>0.789621625902634</v>
      </c>
      <c r="BD105" s="31" t="n">
        <f aca="false">IF((BD96+BD97)&gt;0,BD104/(BD96+BD97),0)</f>
        <v>0.78962039402166</v>
      </c>
      <c r="BE105" s="31" t="n">
        <f aca="false">IF((BE96+BE97)&gt;0,BE104/(BE96+BE97),0)</f>
        <v>0.789619308158948</v>
      </c>
      <c r="BF105" s="31" t="n">
        <f aca="false">IF((BF96+BF97)&gt;0,BF104/(BF96+BF97),0)</f>
        <v>0.78961835117922</v>
      </c>
      <c r="BG105" s="31" t="n">
        <f aca="false">IF((BG96+BG97)&gt;0,BG104/(BG96+BG97),0)</f>
        <v>0.789617507923636</v>
      </c>
      <c r="BH105" s="31" t="n">
        <f aca="false">IF((BH96+BH97)&gt;0,BH104/(BH96+BH97),0)</f>
        <v>0.789616764988312</v>
      </c>
      <c r="BI105" s="31" t="n">
        <f aca="false">IF((BI96+BI97)&gt;0,BI104/(BI96+BI97),0)</f>
        <v>0.78961611052647</v>
      </c>
      <c r="BJ105" s="31" t="n">
        <f aca="false">IF((BJ96+BJ97)&gt;0,BJ104/(BJ96+BJ97),0)</f>
        <v>0.789615534071904</v>
      </c>
      <c r="BK105" s="31" t="n">
        <f aca="false">IF((BK96+BK97)&gt;0,BK104/(BK96+BK97),0)</f>
        <v>0.789615026381655</v>
      </c>
    </row>
    <row r="106" customFormat="false" ht="15" hidden="false" customHeight="false" outlineLevel="0" collapsed="false">
      <c r="A106" s="0" t="s">
        <v>211</v>
      </c>
      <c r="C106" s="0" t="n">
        <v>0</v>
      </c>
      <c r="D106" s="12" t="n">
        <f aca="false">C106*(1-$C$47)+MAX(0,D80-D81)</f>
        <v>2.559375</v>
      </c>
      <c r="E106" s="12" t="n">
        <f aca="false">D106*(1-$C$47)+MAX(0,E80-E81)</f>
        <v>4.5045</v>
      </c>
      <c r="F106" s="12" t="n">
        <f aca="false">E106*(1-$C$47)+MAX(0,F80-F81)</f>
        <v>6.02886375</v>
      </c>
      <c r="G106" s="12" t="n">
        <f aca="false">F106*(1-$C$47)+MAX(0,G80-G81)</f>
        <v>7.2684612</v>
      </c>
      <c r="H106" s="12" t="n">
        <f aca="false">G106*(1-$C$47)+MAX(0,H80-H81)</f>
        <v>8.3190748095</v>
      </c>
      <c r="I106" s="12" t="n">
        <f aca="false">H106*(1-$C$47)+MAX(0,I80-I81)</f>
        <v>9.24837345432</v>
      </c>
      <c r="J106" s="12" t="n">
        <f aca="false">I106*(1-$C$47)+MAX(0,J80-J81)</f>
        <v>10.1043837709542</v>
      </c>
      <c r="K106" s="12" t="n">
        <f aca="false">J106*(1-$C$47)+MAX(0,K80-K81)</f>
        <v>10.921422333774</v>
      </c>
      <c r="L106" s="12" t="n">
        <f aca="false">K106*(1-$C$47)+MAX(0,L80-L81)</f>
        <v>11.7242505493941</v>
      </c>
      <c r="M106" s="12" t="n">
        <f aca="false">L106*(1-$C$47)+MAX(0,M80-M81)</f>
        <v>12.5309855952734</v>
      </c>
      <c r="N106" s="12" t="n">
        <f aca="false">M106*(1-$C$47)+MAX(0,N80-N81)</f>
        <v>13.3551407400308</v>
      </c>
      <c r="O106" s="12" t="n">
        <f aca="false">N106*(1-$C$47)+MAX(0,O80-O81)</f>
        <v>14.2070563907613</v>
      </c>
      <c r="P106" s="12" t="n">
        <f aca="false">O106*(1-$C$47)+MAX(0,P80-P81)</f>
        <v>15.094904818637</v>
      </c>
      <c r="Q106" s="12" t="n">
        <f aca="false">P106*(1-$C$47)+MAX(0,Q80-Q81)</f>
        <v>16.0253966388563</v>
      </c>
      <c r="R106" s="12" t="n">
        <f aca="false">Q106*(1-$C$47)+MAX(0,R80-R81)</f>
        <v>17.0042787089584</v>
      </c>
      <c r="S106" s="12" t="n">
        <f aca="false">R106*(1-$C$47)+MAX(0,S80-S81)</f>
        <v>18.0366862217354</v>
      </c>
      <c r="T106" s="12" t="n">
        <f aca="false">S106*(1-$C$47)+MAX(0,T80-T81)</f>
        <v>19.1273929482072</v>
      </c>
      <c r="U106" s="12" t="n">
        <f aca="false">T106*(1-$C$47)+MAX(0,U80-U81)</f>
        <v>20.280990412317</v>
      </c>
      <c r="V106" s="12" t="n">
        <f aca="false">U106*(1-$C$47)+MAX(0,V80-V81)</f>
        <v>21.5020175581081</v>
      </c>
      <c r="W106" s="12" t="n">
        <f aca="false">V106*(1-$C$47)+MAX(0,W80-W81)</f>
        <v>22.7950560163311</v>
      </c>
      <c r="X106" s="12" t="n">
        <f aca="false">W106*(1-$C$47)+MAX(0,X80-X81)</f>
        <v>24.1648015606265</v>
      </c>
      <c r="Y106" s="12" t="n">
        <f aca="false">X106*(1-$C$47)+MAX(0,Y80-Y81)</f>
        <v>25.616119182585</v>
      </c>
      <c r="Z106" s="12" t="n">
        <f aca="false">Y106*(1-$C$47)+MAX(0,Z80-Z81)</f>
        <v>27.1540870033647</v>
      </c>
      <c r="AA106" s="12" t="n">
        <f aca="false">Z106*(1-$C$47)+MAX(0,AA80-AA81)</f>
        <v>28.7840326924439</v>
      </c>
      <c r="AB106" s="12" t="n">
        <f aca="false">AA106*(1-$C$47)+MAX(0,AB80-AB81)</f>
        <v>30.5115649822046</v>
      </c>
      <c r="AC106" s="12" t="n">
        <f aca="false">AB106*(1-$C$47)+MAX(0,AC80-AC81)</f>
        <v>32.3426021108867</v>
      </c>
      <c r="AD106" s="12" t="n">
        <f aca="false">AC106*(1-$C$47)+MAX(0,AD80-AD81)</f>
        <v>34.2833984983648</v>
      </c>
      <c r="AE106" s="12" t="n">
        <f aca="false">AD106*(1-$C$47)+MAX(0,AE80-AE81)</f>
        <v>36.3405705908441</v>
      </c>
      <c r="AF106" s="12" t="n">
        <f aca="false">AE106*(1-$C$47)+MAX(0,AF80-AF81)</f>
        <v>38.5211225540989</v>
      </c>
      <c r="AG106" s="12" t="n">
        <f aca="false">AF106*(1-$C$47)+MAX(0,AG80-AG81)</f>
        <v>40.8324723168078</v>
      </c>
      <c r="AH106" s="12" t="n">
        <f aca="false">AG106*(1-$C$47)+MAX(0,AH80-AH81)</f>
        <v>43.2824783424403</v>
      </c>
      <c r="AI106" s="12" t="n">
        <f aca="false">AH106*(1-$C$47)+MAX(0,AI80-AI81)</f>
        <v>45.8794674236236</v>
      </c>
      <c r="AJ106" s="12" t="n">
        <f aca="false">AI106*(1-$C$47)+MAX(0,AJ80-AJ81)</f>
        <v>48.6322637354868</v>
      </c>
      <c r="AK106" s="12" t="n">
        <f aca="false">AJ106*(1-$C$47)+MAX(0,AK80-AK81)</f>
        <v>51.5502193461281</v>
      </c>
      <c r="AL106" s="12" t="n">
        <f aca="false">AK106*(1-$C$47)+MAX(0,AL80-AL81)</f>
        <v>54.6432463574542</v>
      </c>
      <c r="AM106" s="12" t="n">
        <f aca="false">AL106*(1-$C$47)+MAX(0,AM80-AM81)</f>
        <v>57.9218508342923</v>
      </c>
      <c r="AN106" s="12" t="n">
        <f aca="false">AM106*(1-$C$47)+MAX(0,AN80-AN81)</f>
        <v>61.3971686711235</v>
      </c>
      <c r="AO106" s="12" t="n">
        <f aca="false">AN106*(1-$C$47)+MAX(0,AO80-AO81)</f>
        <v>65.0810035421325</v>
      </c>
      <c r="AP106" s="12" t="n">
        <f aca="false">AO106*(1-$C$47)+MAX(0,AP80-AP81)</f>
        <v>68.9858670801795</v>
      </c>
      <c r="AQ106" s="12" t="n">
        <f aca="false">AP106*(1-$C$47)+MAX(0,AQ80-AQ81)</f>
        <v>73.1250214328536</v>
      </c>
      <c r="AR106" s="12" t="n">
        <f aca="false">AQ106*(1-$C$47)+MAX(0,AR80-AR81)</f>
        <v>77.5125243483292</v>
      </c>
      <c r="AS106" s="12" t="n">
        <f aca="false">AR106*(1-$C$47)+MAX(0,AS80-AS81)</f>
        <v>82.163276949882</v>
      </c>
      <c r="AT106" s="12" t="n">
        <f aca="false">AS106*(1-$C$47)+MAX(0,AT80-AT81)</f>
        <v>87.0930743653321</v>
      </c>
      <c r="AU106" s="12" t="n">
        <f aca="false">AT106*(1-$C$47)+MAX(0,AU80-AU81)</f>
        <v>92.318659386172</v>
      </c>
      <c r="AV106" s="12" t="n">
        <f aca="false">AU106*(1-$C$47)+MAX(0,AV80-AV81)</f>
        <v>97.8577793405863</v>
      </c>
      <c r="AW106" s="12" t="n">
        <f aca="false">AV106*(1-$C$47)+MAX(0,AW80-AW81)</f>
        <v>103.729246374892</v>
      </c>
      <c r="AX106" s="12" t="n">
        <f aca="false">AW106*(1-$C$47)+MAX(0,AX80-AX81)</f>
        <v>109.953001349095</v>
      </c>
      <c r="AY106" s="12" t="n">
        <f aca="false">AX106*(1-$C$47)+MAX(0,AY80-AY81)</f>
        <v>116.550181564238</v>
      </c>
      <c r="AZ106" s="12" t="n">
        <f aca="false">AY106*(1-$C$47)+MAX(0,AZ80-AZ81)</f>
        <v>123.54319255203</v>
      </c>
      <c r="BA106" s="12" t="n">
        <f aca="false">AZ106*(1-$C$47)+MAX(0,BA80-BA81)</f>
        <v>130.955784170908</v>
      </c>
      <c r="BB106" s="12" t="n">
        <f aca="false">BA106*(1-$C$47)+MAX(0,BB80-BB81)</f>
        <v>138.813131267192</v>
      </c>
      <c r="BC106" s="12" t="n">
        <f aca="false">BB106*(1-$C$47)+MAX(0,BC80-BC81)</f>
        <v>147.141919175444</v>
      </c>
      <c r="BD106" s="12" t="n">
        <f aca="false">BC106*(1-$C$47)+MAX(0,BD80-BD81)</f>
        <v>155.970434348525</v>
      </c>
      <c r="BE106" s="12" t="n">
        <f aca="false">BD106*(1-$C$47)+MAX(0,BE80-BE81)</f>
        <v>165.328660425225</v>
      </c>
      <c r="BF106" s="12" t="n">
        <f aca="false">BE106*(1-$C$47)+MAX(0,BF80-BF81)</f>
        <v>175.24838006179</v>
      </c>
      <c r="BG106" s="12" t="n">
        <f aca="false">BF106*(1-$C$47)+MAX(0,BG80-BG81)</f>
        <v>185.763282873234</v>
      </c>
      <c r="BH106" s="12" t="n">
        <f aca="false">BG106*(1-$C$47)+MAX(0,BH80-BH81)</f>
        <v>196.909079851043</v>
      </c>
      <c r="BI106" s="12" t="n">
        <f aca="false">BH106*(1-$C$47)+MAX(0,BI80-BI81)</f>
        <v>208.723624645896</v>
      </c>
      <c r="BJ106" s="12" t="n">
        <f aca="false">BI106*(1-$C$47)+MAX(0,BJ80-BJ81)</f>
        <v>221.247042127303</v>
      </c>
      <c r="BK106" s="12" t="n">
        <f aca="false">BJ106*(1-$C$47)+MAX(0,BK80-BK81)</f>
        <v>234.521864656799</v>
      </c>
    </row>
    <row r="107" customFormat="false" ht="15" hidden="false" customHeight="false" outlineLevel="0" collapsed="false">
      <c r="A107" s="0" t="s">
        <v>212</v>
      </c>
      <c r="D107" s="12" t="n">
        <f aca="false">D106*$C$48</f>
        <v>30.7125</v>
      </c>
      <c r="E107" s="12" t="n">
        <f aca="false">E106*$C$48</f>
        <v>54.054</v>
      </c>
      <c r="F107" s="12" t="n">
        <f aca="false">F106*$C$48</f>
        <v>72.346365</v>
      </c>
      <c r="G107" s="12" t="n">
        <f aca="false">G106*$C$48</f>
        <v>87.2215344</v>
      </c>
      <c r="H107" s="12" t="n">
        <f aca="false">H106*$C$48</f>
        <v>99.828897714</v>
      </c>
      <c r="I107" s="12" t="n">
        <f aca="false">I106*$C$48</f>
        <v>110.98048145184</v>
      </c>
      <c r="J107" s="12" t="n">
        <f aca="false">J106*$C$48</f>
        <v>121.25260525145</v>
      </c>
      <c r="K107" s="12" t="n">
        <f aca="false">K106*$C$48</f>
        <v>131.057068005287</v>
      </c>
      <c r="L107" s="12" t="n">
        <f aca="false">L106*$C$48</f>
        <v>140.69100659273</v>
      </c>
      <c r="M107" s="12" t="n">
        <f aca="false">M106*$C$48</f>
        <v>150.371827143281</v>
      </c>
      <c r="N107" s="12" t="n">
        <f aca="false">N106*$C$48</f>
        <v>160.261688880369</v>
      </c>
      <c r="O107" s="12" t="n">
        <f aca="false">O106*$C$48</f>
        <v>170.484676689135</v>
      </c>
      <c r="P107" s="12" t="n">
        <f aca="false">P106*$C$48</f>
        <v>181.138857823644</v>
      </c>
      <c r="Q107" s="12" t="n">
        <f aca="false">Q106*$C$48</f>
        <v>192.304759666275</v>
      </c>
      <c r="R107" s="12" t="n">
        <f aca="false">R106*$C$48</f>
        <v>204.0513445075</v>
      </c>
      <c r="S107" s="12" t="n">
        <f aca="false">S106*$C$48</f>
        <v>216.440234660825</v>
      </c>
      <c r="T107" s="12" t="n">
        <f aca="false">T106*$C$48</f>
        <v>229.528715378486</v>
      </c>
      <c r="U107" s="12" t="n">
        <f aca="false">U106*$C$48</f>
        <v>243.371884947803</v>
      </c>
      <c r="V107" s="12" t="n">
        <f aca="false">V106*$C$48</f>
        <v>258.024210697297</v>
      </c>
      <c r="W107" s="12" t="n">
        <f aca="false">W106*$C$48</f>
        <v>273.540672195973</v>
      </c>
      <c r="X107" s="12" t="n">
        <f aca="false">X106*$C$48</f>
        <v>289.977618727518</v>
      </c>
      <c r="Y107" s="12" t="n">
        <f aca="false">Y106*$C$48</f>
        <v>307.39343019102</v>
      </c>
      <c r="Z107" s="12" t="n">
        <f aca="false">Z106*$C$48</f>
        <v>325.849044040377</v>
      </c>
      <c r="AA107" s="12" t="n">
        <f aca="false">AA106*$C$48</f>
        <v>345.408392309326</v>
      </c>
      <c r="AB107" s="12" t="n">
        <f aca="false">AB106*$C$48</f>
        <v>366.138779786455</v>
      </c>
      <c r="AC107" s="12" t="n">
        <f aca="false">AC106*$C$48</f>
        <v>388.11122533064</v>
      </c>
      <c r="AD107" s="12" t="n">
        <f aca="false">AD106*$C$48</f>
        <v>411.400781980377</v>
      </c>
      <c r="AE107" s="12" t="n">
        <f aca="false">AE106*$C$48</f>
        <v>436.086847090129</v>
      </c>
      <c r="AF107" s="12" t="n">
        <f aca="false">AF106*$C$48</f>
        <v>462.253470649187</v>
      </c>
      <c r="AG107" s="12" t="n">
        <f aca="false">AG106*$C$48</f>
        <v>489.989667801694</v>
      </c>
      <c r="AH107" s="12" t="n">
        <f aca="false">AH106*$C$48</f>
        <v>519.389740109284</v>
      </c>
      <c r="AI107" s="12" t="n">
        <f aca="false">AI106*$C$48</f>
        <v>550.553609083483</v>
      </c>
      <c r="AJ107" s="12" t="n">
        <f aca="false">AJ106*$C$48</f>
        <v>583.587164825842</v>
      </c>
      <c r="AK107" s="12" t="n">
        <f aca="false">AK106*$C$48</f>
        <v>618.602632153537</v>
      </c>
      <c r="AL107" s="12" t="n">
        <f aca="false">AL106*$C$48</f>
        <v>655.71895628945</v>
      </c>
      <c r="AM107" s="12" t="n">
        <f aca="false">AM106*$C$48</f>
        <v>695.062210011508</v>
      </c>
      <c r="AN107" s="12" t="n">
        <f aca="false">AN106*$C$48</f>
        <v>736.766024053482</v>
      </c>
      <c r="AO107" s="12" t="n">
        <f aca="false">AO106*$C$48</f>
        <v>780.97204250559</v>
      </c>
      <c r="AP107" s="12" t="n">
        <f aca="false">AP106*$C$48</f>
        <v>827.830404962154</v>
      </c>
      <c r="AQ107" s="12" t="n">
        <f aca="false">AQ106*$C$48</f>
        <v>877.500257194244</v>
      </c>
      <c r="AR107" s="12" t="n">
        <f aca="false">AR106*$C$48</f>
        <v>930.150292179951</v>
      </c>
      <c r="AS107" s="12" t="n">
        <f aca="false">AS106*$C$48</f>
        <v>985.959323398584</v>
      </c>
      <c r="AT107" s="12" t="n">
        <f aca="false">AT106*$C$48</f>
        <v>1045.11689238398</v>
      </c>
      <c r="AU107" s="12" t="n">
        <f aca="false">AU106*$C$48</f>
        <v>1107.82391263406</v>
      </c>
      <c r="AV107" s="12" t="n">
        <f aca="false">AV106*$C$48</f>
        <v>1174.29335208704</v>
      </c>
      <c r="AW107" s="12" t="n">
        <f aca="false">AW106*$C$48</f>
        <v>1244.75095649871</v>
      </c>
      <c r="AX107" s="12" t="n">
        <f aca="false">AX106*$C$48</f>
        <v>1319.43601618914</v>
      </c>
      <c r="AY107" s="12" t="n">
        <f aca="false">AY106*$C$48</f>
        <v>1398.60217877085</v>
      </c>
      <c r="AZ107" s="12" t="n">
        <f aca="false">AZ106*$C$48</f>
        <v>1482.51831062436</v>
      </c>
      <c r="BA107" s="12" t="n">
        <f aca="false">BA106*$C$48</f>
        <v>1571.4694100509</v>
      </c>
      <c r="BB107" s="12" t="n">
        <f aca="false">BB106*$C$48</f>
        <v>1665.7575752063</v>
      </c>
      <c r="BC107" s="12" t="n">
        <f aca="false">BC106*$C$48</f>
        <v>1765.70303010533</v>
      </c>
      <c r="BD107" s="12" t="n">
        <f aca="false">BD106*$C$48</f>
        <v>1871.6452121823</v>
      </c>
      <c r="BE107" s="12" t="n">
        <f aca="false">BE106*$C$48</f>
        <v>1983.9439251027</v>
      </c>
      <c r="BF107" s="12" t="n">
        <f aca="false">BF106*$C$48</f>
        <v>2102.98056074148</v>
      </c>
      <c r="BG107" s="12" t="n">
        <f aca="false">BG106*$C$48</f>
        <v>2229.1593944788</v>
      </c>
      <c r="BH107" s="12" t="n">
        <f aca="false">BH106*$C$48</f>
        <v>2362.90895821251</v>
      </c>
      <c r="BI107" s="12" t="n">
        <f aca="false">BI106*$C$48</f>
        <v>2504.68349575075</v>
      </c>
      <c r="BJ107" s="12" t="n">
        <f aca="false">BJ106*$C$48</f>
        <v>2654.96450552764</v>
      </c>
      <c r="BK107" s="12" t="n">
        <f aca="false">BK106*$C$48</f>
        <v>2814.26237588159</v>
      </c>
    </row>
    <row r="108" customFormat="false" ht="15" hidden="false" customHeight="false" outlineLevel="0" collapsed="false">
      <c r="A108" s="0" t="s">
        <v>213</v>
      </c>
      <c r="D108" s="12" t="n">
        <f aca="false">$C$49*30</f>
        <v>4615.38461538462</v>
      </c>
      <c r="E108" s="12" t="n">
        <f aca="false">$C$49*30</f>
        <v>4615.38461538462</v>
      </c>
      <c r="F108" s="12" t="n">
        <f aca="false">$C$49*30</f>
        <v>4615.38461538462</v>
      </c>
      <c r="G108" s="12" t="n">
        <f aca="false">$C$49*30</f>
        <v>4615.38461538462</v>
      </c>
      <c r="H108" s="12" t="n">
        <f aca="false">$C$49*30</f>
        <v>4615.38461538462</v>
      </c>
      <c r="I108" s="12" t="n">
        <f aca="false">$C$49*30</f>
        <v>4615.38461538462</v>
      </c>
      <c r="J108" s="12" t="n">
        <f aca="false">$C$49*30</f>
        <v>4615.38461538462</v>
      </c>
      <c r="K108" s="12" t="n">
        <f aca="false">$C$49*30</f>
        <v>4615.38461538462</v>
      </c>
      <c r="L108" s="12" t="n">
        <f aca="false">$C$49*30</f>
        <v>4615.38461538462</v>
      </c>
      <c r="M108" s="12" t="n">
        <f aca="false">$C$49*30</f>
        <v>4615.38461538462</v>
      </c>
      <c r="N108" s="12" t="n">
        <f aca="false">$C$49*30</f>
        <v>4615.38461538462</v>
      </c>
      <c r="O108" s="12" t="n">
        <f aca="false">$C$49*30</f>
        <v>4615.38461538462</v>
      </c>
      <c r="P108" s="12" t="n">
        <f aca="false">$C$49*30</f>
        <v>4615.38461538462</v>
      </c>
      <c r="Q108" s="12" t="n">
        <f aca="false">$C$49*30</f>
        <v>4615.38461538462</v>
      </c>
      <c r="R108" s="12" t="n">
        <f aca="false">$C$49*30</f>
        <v>4615.38461538462</v>
      </c>
      <c r="S108" s="12" t="n">
        <f aca="false">$C$49*30</f>
        <v>4615.38461538462</v>
      </c>
      <c r="T108" s="12" t="n">
        <f aca="false">$C$49*30</f>
        <v>4615.38461538462</v>
      </c>
      <c r="U108" s="12" t="n">
        <f aca="false">$C$49*30</f>
        <v>4615.38461538462</v>
      </c>
      <c r="V108" s="12" t="n">
        <f aca="false">$C$49*30</f>
        <v>4615.38461538462</v>
      </c>
      <c r="W108" s="12" t="n">
        <f aca="false">$C$49*30</f>
        <v>4615.38461538462</v>
      </c>
      <c r="X108" s="12" t="n">
        <f aca="false">$C$49*30</f>
        <v>4615.38461538462</v>
      </c>
      <c r="Y108" s="12" t="n">
        <f aca="false">$C$49*30</f>
        <v>4615.38461538462</v>
      </c>
      <c r="Z108" s="12" t="n">
        <f aca="false">$C$49*30</f>
        <v>4615.38461538462</v>
      </c>
      <c r="AA108" s="12" t="n">
        <f aca="false">$C$49*30</f>
        <v>4615.38461538462</v>
      </c>
      <c r="AB108" s="12" t="n">
        <f aca="false">$C$49*30</f>
        <v>4615.38461538462</v>
      </c>
      <c r="AC108" s="12" t="n">
        <f aca="false">$C$49*30</f>
        <v>4615.38461538462</v>
      </c>
      <c r="AD108" s="12" t="n">
        <f aca="false">$C$49*30</f>
        <v>4615.38461538462</v>
      </c>
      <c r="AE108" s="12" t="n">
        <f aca="false">$C$49*30</f>
        <v>4615.38461538462</v>
      </c>
      <c r="AF108" s="12" t="n">
        <f aca="false">$C$49*30</f>
        <v>4615.38461538462</v>
      </c>
      <c r="AG108" s="12" t="n">
        <f aca="false">$C$49*30</f>
        <v>4615.38461538462</v>
      </c>
      <c r="AH108" s="12" t="n">
        <f aca="false">$C$49*30</f>
        <v>4615.38461538462</v>
      </c>
      <c r="AI108" s="12" t="n">
        <f aca="false">$C$49*30</f>
        <v>4615.38461538462</v>
      </c>
      <c r="AJ108" s="12" t="n">
        <f aca="false">$C$49*30</f>
        <v>4615.38461538462</v>
      </c>
      <c r="AK108" s="12" t="n">
        <f aca="false">$C$49*30</f>
        <v>4615.38461538462</v>
      </c>
      <c r="AL108" s="12" t="n">
        <f aca="false">$C$49*30</f>
        <v>4615.38461538462</v>
      </c>
      <c r="AM108" s="12" t="n">
        <f aca="false">$C$49*30</f>
        <v>4615.38461538462</v>
      </c>
      <c r="AN108" s="12" t="n">
        <f aca="false">$C$49*30</f>
        <v>4615.38461538462</v>
      </c>
      <c r="AO108" s="12" t="n">
        <f aca="false">$C$49*30</f>
        <v>4615.38461538462</v>
      </c>
      <c r="AP108" s="12" t="n">
        <f aca="false">$C$49*30</f>
        <v>4615.38461538462</v>
      </c>
      <c r="AQ108" s="12" t="n">
        <f aca="false">$C$49*30</f>
        <v>4615.38461538462</v>
      </c>
      <c r="AR108" s="12" t="n">
        <f aca="false">$C$49*30</f>
        <v>4615.38461538462</v>
      </c>
      <c r="AS108" s="12" t="n">
        <f aca="false">$C$49*30</f>
        <v>4615.38461538462</v>
      </c>
      <c r="AT108" s="12" t="n">
        <f aca="false">$C$49*30</f>
        <v>4615.38461538462</v>
      </c>
      <c r="AU108" s="12" t="n">
        <f aca="false">$C$49*30</f>
        <v>4615.38461538462</v>
      </c>
      <c r="AV108" s="12" t="n">
        <f aca="false">$C$49*30</f>
        <v>4615.38461538462</v>
      </c>
      <c r="AW108" s="12" t="n">
        <f aca="false">$C$49*30</f>
        <v>4615.38461538462</v>
      </c>
      <c r="AX108" s="12" t="n">
        <f aca="false">$C$49*30</f>
        <v>4615.38461538462</v>
      </c>
      <c r="AY108" s="12" t="n">
        <f aca="false">$C$49*30</f>
        <v>4615.38461538462</v>
      </c>
      <c r="AZ108" s="12" t="n">
        <f aca="false">$C$49*30</f>
        <v>4615.38461538462</v>
      </c>
      <c r="BA108" s="12" t="n">
        <f aca="false">$C$49*30</f>
        <v>4615.38461538462</v>
      </c>
      <c r="BB108" s="12" t="n">
        <f aca="false">$C$49*30</f>
        <v>4615.38461538462</v>
      </c>
      <c r="BC108" s="12" t="n">
        <f aca="false">$C$49*30</f>
        <v>4615.38461538462</v>
      </c>
      <c r="BD108" s="12" t="n">
        <f aca="false">$C$49*30</f>
        <v>4615.38461538462</v>
      </c>
      <c r="BE108" s="12" t="n">
        <f aca="false">$C$49*30</f>
        <v>4615.38461538462</v>
      </c>
      <c r="BF108" s="12" t="n">
        <f aca="false">$C$49*30</f>
        <v>4615.38461538462</v>
      </c>
      <c r="BG108" s="12" t="n">
        <f aca="false">$C$49*30</f>
        <v>4615.38461538462</v>
      </c>
      <c r="BH108" s="12" t="n">
        <f aca="false">$C$49*30</f>
        <v>4615.38461538462</v>
      </c>
      <c r="BI108" s="12" t="n">
        <f aca="false">$C$49*30</f>
        <v>4615.38461538462</v>
      </c>
      <c r="BJ108" s="12" t="n">
        <f aca="false">$C$49*30</f>
        <v>4615.38461538462</v>
      </c>
      <c r="BK108" s="12" t="n">
        <f aca="false">$C$49*30</f>
        <v>4615.38461538462</v>
      </c>
    </row>
    <row r="109" customFormat="false" ht="15" hidden="false" customHeight="false" outlineLevel="0" collapsed="false">
      <c r="A109" s="0" t="s">
        <v>214</v>
      </c>
      <c r="D109" s="31" t="n">
        <f aca="false">D107/D108</f>
        <v>0.006654375</v>
      </c>
      <c r="E109" s="31" t="n">
        <f aca="false">E107/E108</f>
        <v>0.0117117</v>
      </c>
      <c r="F109" s="31" t="n">
        <f aca="false">F107/F108</f>
        <v>0.01567504575</v>
      </c>
      <c r="G109" s="31" t="n">
        <f aca="false">G107/G108</f>
        <v>0.01889799912</v>
      </c>
      <c r="H109" s="31" t="n">
        <f aca="false">H107/H108</f>
        <v>0.0216295945047</v>
      </c>
      <c r="I109" s="31" t="n">
        <f aca="false">I107/I108</f>
        <v>0.024045770981232</v>
      </c>
      <c r="J109" s="31" t="n">
        <f aca="false">J107/J108</f>
        <v>0.0262713978044809</v>
      </c>
      <c r="K109" s="31" t="n">
        <f aca="false">K107/K108</f>
        <v>0.0283956980678123</v>
      </c>
      <c r="L109" s="31" t="n">
        <f aca="false">L107/L108</f>
        <v>0.0304830514284248</v>
      </c>
      <c r="M109" s="31" t="n">
        <f aca="false">M107/M108</f>
        <v>0.0325805625477109</v>
      </c>
      <c r="N109" s="31" t="n">
        <f aca="false">N107/N108</f>
        <v>0.03472336592408</v>
      </c>
      <c r="O109" s="31" t="n">
        <f aca="false">O107/O108</f>
        <v>0.0369383466159793</v>
      </c>
      <c r="P109" s="31" t="n">
        <f aca="false">P107/P108</f>
        <v>0.0392467525284562</v>
      </c>
      <c r="Q109" s="31" t="n">
        <f aca="false">Q107/Q108</f>
        <v>0.0416660312610263</v>
      </c>
      <c r="R109" s="31" t="n">
        <f aca="false">R107/R108</f>
        <v>0.0442111246432917</v>
      </c>
      <c r="S109" s="31" t="n">
        <f aca="false">S107/S108</f>
        <v>0.046895384176512</v>
      </c>
      <c r="T109" s="31" t="n">
        <f aca="false">T107/T108</f>
        <v>0.0497312216653386</v>
      </c>
      <c r="U109" s="31" t="n">
        <f aca="false">U107/U108</f>
        <v>0.0527305750720241</v>
      </c>
      <c r="V109" s="31" t="n">
        <f aca="false">V107/V108</f>
        <v>0.0559052456510811</v>
      </c>
      <c r="W109" s="31" t="n">
        <f aca="false">W107/W108</f>
        <v>0.0592671456424609</v>
      </c>
      <c r="X109" s="31" t="n">
        <f aca="false">X107/X108</f>
        <v>0.062828484057629</v>
      </c>
      <c r="Y109" s="31" t="n">
        <f aca="false">Y107/Y108</f>
        <v>0.0666019098747211</v>
      </c>
      <c r="Z109" s="31" t="n">
        <f aca="false">Z107/Z108</f>
        <v>0.0706006262087483</v>
      </c>
      <c r="AA109" s="31" t="n">
        <f aca="false">AA107/AA108</f>
        <v>0.0748384850003541</v>
      </c>
      <c r="AB109" s="31" t="n">
        <f aca="false">AB107/AB108</f>
        <v>0.0793300689537319</v>
      </c>
      <c r="AC109" s="31" t="n">
        <f aca="false">AC107/AC108</f>
        <v>0.0840907654883054</v>
      </c>
      <c r="AD109" s="31" t="n">
        <f aca="false">AD107/AD108</f>
        <v>0.0891368360957484</v>
      </c>
      <c r="AE109" s="31" t="n">
        <f aca="false">AE107/AE108</f>
        <v>0.0944854835361946</v>
      </c>
      <c r="AF109" s="31" t="n">
        <f aca="false">AF107/AF108</f>
        <v>0.100154918640657</v>
      </c>
      <c r="AG109" s="31" t="n">
        <f aca="false">AG107/AG108</f>
        <v>0.1061644280237</v>
      </c>
      <c r="AH109" s="31" t="n">
        <f aca="false">AH107/AH108</f>
        <v>0.112534443690345</v>
      </c>
      <c r="AI109" s="31" t="n">
        <f aca="false">AI107/AI108</f>
        <v>0.119286615301421</v>
      </c>
      <c r="AJ109" s="31" t="n">
        <f aca="false">AJ107/AJ108</f>
        <v>0.126443885712266</v>
      </c>
      <c r="AK109" s="31" t="n">
        <f aca="false">AK107/AK108</f>
        <v>0.134030570299933</v>
      </c>
      <c r="AL109" s="31" t="n">
        <f aca="false">AL107/AL108</f>
        <v>0.142072440529381</v>
      </c>
      <c r="AM109" s="31" t="n">
        <f aca="false">AM107/AM108</f>
        <v>0.15059681216916</v>
      </c>
      <c r="AN109" s="31" t="n">
        <f aca="false">AN107/AN108</f>
        <v>0.159632638544921</v>
      </c>
      <c r="AO109" s="31" t="n">
        <f aca="false">AO107/AO108</f>
        <v>0.169210609209544</v>
      </c>
      <c r="AP109" s="31" t="n">
        <f aca="false">AP107/AP108</f>
        <v>0.179363254408467</v>
      </c>
      <c r="AQ109" s="31" t="n">
        <f aca="false">AQ107/AQ108</f>
        <v>0.190125055725419</v>
      </c>
      <c r="AR109" s="31" t="n">
        <f aca="false">AR107/AR108</f>
        <v>0.201532563305656</v>
      </c>
      <c r="AS109" s="31" t="n">
        <f aca="false">AS107/AS108</f>
        <v>0.213624520069693</v>
      </c>
      <c r="AT109" s="31" t="n">
        <f aca="false">AT107/AT108</f>
        <v>0.226441993349863</v>
      </c>
      <c r="AU109" s="31" t="n">
        <f aca="false">AU107/AU108</f>
        <v>0.240028514404047</v>
      </c>
      <c r="AV109" s="31" t="n">
        <f aca="false">AV107/AV108</f>
        <v>0.254430226285524</v>
      </c>
      <c r="AW109" s="31" t="n">
        <f aca="false">AW107/AW108</f>
        <v>0.26969604057472</v>
      </c>
      <c r="AX109" s="31" t="n">
        <f aca="false">AX107/AX108</f>
        <v>0.285877803507648</v>
      </c>
      <c r="AY109" s="31" t="n">
        <f aca="false">AY107/AY108</f>
        <v>0.303030472067018</v>
      </c>
      <c r="AZ109" s="31" t="n">
        <f aca="false">AZ107/AZ108</f>
        <v>0.321212300635277</v>
      </c>
      <c r="BA109" s="31" t="n">
        <f aca="false">BA107/BA108</f>
        <v>0.340485038844361</v>
      </c>
      <c r="BB109" s="31" t="n">
        <f aca="false">BB107/BB108</f>
        <v>0.360914141294699</v>
      </c>
      <c r="BC109" s="31" t="n">
        <f aca="false">BC107/BC108</f>
        <v>0.382568989856154</v>
      </c>
      <c r="BD109" s="31" t="n">
        <f aca="false">BD107/BD108</f>
        <v>0.405523129306165</v>
      </c>
      <c r="BE109" s="31" t="n">
        <f aca="false">BE107/BE108</f>
        <v>0.429854517105584</v>
      </c>
      <c r="BF109" s="31" t="n">
        <f aca="false">BF107/BF108</f>
        <v>0.455645788160654</v>
      </c>
      <c r="BG109" s="31" t="n">
        <f aca="false">BG107/BG108</f>
        <v>0.482984535470407</v>
      </c>
      <c r="BH109" s="31" t="n">
        <f aca="false">BH107/BH108</f>
        <v>0.511963607612711</v>
      </c>
      <c r="BI109" s="31" t="n">
        <f aca="false">BI107/BI108</f>
        <v>0.54268142407933</v>
      </c>
      <c r="BJ109" s="31" t="n">
        <f aca="false">BJ107/BJ108</f>
        <v>0.575242309530989</v>
      </c>
      <c r="BK109" s="31" t="n">
        <f aca="false">BK107/BK108</f>
        <v>0.609756848107678</v>
      </c>
    </row>
    <row r="110" customFormat="false" ht="15" hidden="false" customHeight="false" outlineLevel="0" collapsed="false">
      <c r="A110" s="0" t="s">
        <v>215</v>
      </c>
      <c r="D110" s="12" t="n">
        <f aca="false">MAX(0,D107-D108)</f>
        <v>0</v>
      </c>
      <c r="E110" s="12" t="n">
        <f aca="false">MAX(0,E107-E108)</f>
        <v>0</v>
      </c>
      <c r="F110" s="12" t="n">
        <f aca="false">MAX(0,F107-F108)</f>
        <v>0</v>
      </c>
      <c r="G110" s="12" t="n">
        <f aca="false">MAX(0,G107-G108)</f>
        <v>0</v>
      </c>
      <c r="H110" s="12" t="n">
        <f aca="false">MAX(0,H107-H108)</f>
        <v>0</v>
      </c>
      <c r="I110" s="12" t="n">
        <f aca="false">MAX(0,I107-I108)</f>
        <v>0</v>
      </c>
      <c r="J110" s="12" t="n">
        <f aca="false">MAX(0,J107-J108)</f>
        <v>0</v>
      </c>
      <c r="K110" s="12" t="n">
        <f aca="false">MAX(0,K107-K108)</f>
        <v>0</v>
      </c>
      <c r="L110" s="12" t="n">
        <f aca="false">MAX(0,L107-L108)</f>
        <v>0</v>
      </c>
      <c r="M110" s="12" t="n">
        <f aca="false">MAX(0,M107-M108)</f>
        <v>0</v>
      </c>
      <c r="N110" s="12" t="n">
        <f aca="false">MAX(0,N107-N108)</f>
        <v>0</v>
      </c>
      <c r="O110" s="12" t="n">
        <f aca="false">MAX(0,O107-O108)</f>
        <v>0</v>
      </c>
      <c r="P110" s="12" t="n">
        <f aca="false">MAX(0,P107-P108)</f>
        <v>0</v>
      </c>
      <c r="Q110" s="12" t="n">
        <f aca="false">MAX(0,Q107-Q108)</f>
        <v>0</v>
      </c>
      <c r="R110" s="12" t="n">
        <f aca="false">MAX(0,R107-R108)</f>
        <v>0</v>
      </c>
      <c r="S110" s="12" t="n">
        <f aca="false">MAX(0,S107-S108)</f>
        <v>0</v>
      </c>
      <c r="T110" s="12" t="n">
        <f aca="false">MAX(0,T107-T108)</f>
        <v>0</v>
      </c>
      <c r="U110" s="12" t="n">
        <f aca="false">MAX(0,U107-U108)</f>
        <v>0</v>
      </c>
      <c r="V110" s="12" t="n">
        <f aca="false">MAX(0,V107-V108)</f>
        <v>0</v>
      </c>
      <c r="W110" s="12" t="n">
        <f aca="false">MAX(0,W107-W108)</f>
        <v>0</v>
      </c>
      <c r="X110" s="12" t="n">
        <f aca="false">MAX(0,X107-X108)</f>
        <v>0</v>
      </c>
      <c r="Y110" s="12" t="n">
        <f aca="false">MAX(0,Y107-Y108)</f>
        <v>0</v>
      </c>
      <c r="Z110" s="12" t="n">
        <f aca="false">MAX(0,Z107-Z108)</f>
        <v>0</v>
      </c>
      <c r="AA110" s="12" t="n">
        <f aca="false">MAX(0,AA107-AA108)</f>
        <v>0</v>
      </c>
      <c r="AB110" s="12" t="n">
        <f aca="false">MAX(0,AB107-AB108)</f>
        <v>0</v>
      </c>
      <c r="AC110" s="12" t="n">
        <f aca="false">MAX(0,AC107-AC108)</f>
        <v>0</v>
      </c>
      <c r="AD110" s="12" t="n">
        <f aca="false">MAX(0,AD107-AD108)</f>
        <v>0</v>
      </c>
      <c r="AE110" s="12" t="n">
        <f aca="false">MAX(0,AE107-AE108)</f>
        <v>0</v>
      </c>
      <c r="AF110" s="12" t="n">
        <f aca="false">MAX(0,AF107-AF108)</f>
        <v>0</v>
      </c>
      <c r="AG110" s="12" t="n">
        <f aca="false">MAX(0,AG107-AG108)</f>
        <v>0</v>
      </c>
      <c r="AH110" s="12" t="n">
        <f aca="false">MAX(0,AH107-AH108)</f>
        <v>0</v>
      </c>
      <c r="AI110" s="12" t="n">
        <f aca="false">MAX(0,AI107-AI108)</f>
        <v>0</v>
      </c>
      <c r="AJ110" s="12" t="n">
        <f aca="false">MAX(0,AJ107-AJ108)</f>
        <v>0</v>
      </c>
      <c r="AK110" s="12" t="n">
        <f aca="false">MAX(0,AK107-AK108)</f>
        <v>0</v>
      </c>
      <c r="AL110" s="12" t="n">
        <f aca="false">MAX(0,AL107-AL108)</f>
        <v>0</v>
      </c>
      <c r="AM110" s="12" t="n">
        <f aca="false">MAX(0,AM107-AM108)</f>
        <v>0</v>
      </c>
      <c r="AN110" s="12" t="n">
        <f aca="false">MAX(0,AN107-AN108)</f>
        <v>0</v>
      </c>
      <c r="AO110" s="12" t="n">
        <f aca="false">MAX(0,AO107-AO108)</f>
        <v>0</v>
      </c>
      <c r="AP110" s="12" t="n">
        <f aca="false">MAX(0,AP107-AP108)</f>
        <v>0</v>
      </c>
      <c r="AQ110" s="12" t="n">
        <f aca="false">MAX(0,AQ107-AQ108)</f>
        <v>0</v>
      </c>
      <c r="AR110" s="12" t="n">
        <f aca="false">MAX(0,AR107-AR108)</f>
        <v>0</v>
      </c>
      <c r="AS110" s="12" t="n">
        <f aca="false">MAX(0,AS107-AS108)</f>
        <v>0</v>
      </c>
      <c r="AT110" s="12" t="n">
        <f aca="false">MAX(0,AT107-AT108)</f>
        <v>0</v>
      </c>
      <c r="AU110" s="12" t="n">
        <f aca="false">MAX(0,AU107-AU108)</f>
        <v>0</v>
      </c>
      <c r="AV110" s="12" t="n">
        <f aca="false">MAX(0,AV107-AV108)</f>
        <v>0</v>
      </c>
      <c r="AW110" s="12" t="n">
        <f aca="false">MAX(0,AW107-AW108)</f>
        <v>0</v>
      </c>
      <c r="AX110" s="12" t="n">
        <f aca="false">MAX(0,AX107-AX108)</f>
        <v>0</v>
      </c>
      <c r="AY110" s="12" t="n">
        <f aca="false">MAX(0,AY107-AY108)</f>
        <v>0</v>
      </c>
      <c r="AZ110" s="12" t="n">
        <f aca="false">MAX(0,AZ107-AZ108)</f>
        <v>0</v>
      </c>
      <c r="BA110" s="12" t="n">
        <f aca="false">MAX(0,BA107-BA108)</f>
        <v>0</v>
      </c>
      <c r="BB110" s="12" t="n">
        <f aca="false">MAX(0,BB107-BB108)</f>
        <v>0</v>
      </c>
      <c r="BC110" s="12" t="n">
        <f aca="false">MAX(0,BC107-BC108)</f>
        <v>0</v>
      </c>
      <c r="BD110" s="12" t="n">
        <f aca="false">MAX(0,BD107-BD108)</f>
        <v>0</v>
      </c>
      <c r="BE110" s="12" t="n">
        <f aca="false">MAX(0,BE107-BE108)</f>
        <v>0</v>
      </c>
      <c r="BF110" s="12" t="n">
        <f aca="false">MAX(0,BF107-BF108)</f>
        <v>0</v>
      </c>
      <c r="BG110" s="12" t="n">
        <f aca="false">MAX(0,BG107-BG108)</f>
        <v>0</v>
      </c>
      <c r="BH110" s="12" t="n">
        <f aca="false">MAX(0,BH107-BH108)</f>
        <v>0</v>
      </c>
      <c r="BI110" s="12" t="n">
        <f aca="false">MAX(0,BI107-BI108)</f>
        <v>0</v>
      </c>
      <c r="BJ110" s="12" t="n">
        <f aca="false">MAX(0,BJ107-BJ108)</f>
        <v>0</v>
      </c>
      <c r="BK110" s="12" t="n">
        <f aca="false">MAX(0,BK107-BK108)</f>
        <v>0</v>
      </c>
    </row>
    <row r="111" customFormat="false" ht="15" hidden="false" customHeight="false" outlineLevel="0" collapsed="false">
      <c r="A111" s="0" t="s">
        <v>216</v>
      </c>
      <c r="D111" s="7" t="n">
        <f aca="false">D110*$C$50*$C$51</f>
        <v>0</v>
      </c>
      <c r="E111" s="7" t="n">
        <f aca="false">E110*$C$50*$C$51</f>
        <v>0</v>
      </c>
      <c r="F111" s="7" t="n">
        <f aca="false">F110*$C$50*$C$51</f>
        <v>0</v>
      </c>
      <c r="G111" s="7" t="n">
        <f aca="false">G110*$C$50*$C$51</f>
        <v>0</v>
      </c>
      <c r="H111" s="7" t="n">
        <f aca="false">H110*$C$50*$C$51</f>
        <v>0</v>
      </c>
      <c r="I111" s="7" t="n">
        <f aca="false">I110*$C$50*$C$51</f>
        <v>0</v>
      </c>
      <c r="J111" s="7" t="n">
        <f aca="false">J110*$C$50*$C$51</f>
        <v>0</v>
      </c>
      <c r="K111" s="7" t="n">
        <f aca="false">K110*$C$50*$C$51</f>
        <v>0</v>
      </c>
      <c r="L111" s="7" t="n">
        <f aca="false">L110*$C$50*$C$51</f>
        <v>0</v>
      </c>
      <c r="M111" s="7" t="n">
        <f aca="false">M110*$C$50*$C$51</f>
        <v>0</v>
      </c>
      <c r="N111" s="7" t="n">
        <f aca="false">N110*$C$50*$C$51</f>
        <v>0</v>
      </c>
      <c r="O111" s="7" t="n">
        <f aca="false">O110*$C$50*$C$51</f>
        <v>0</v>
      </c>
      <c r="P111" s="7" t="n">
        <f aca="false">P110*$C$50*$C$51</f>
        <v>0</v>
      </c>
      <c r="Q111" s="7" t="n">
        <f aca="false">Q110*$C$50*$C$51</f>
        <v>0</v>
      </c>
      <c r="R111" s="7" t="n">
        <f aca="false">R110*$C$50*$C$51</f>
        <v>0</v>
      </c>
      <c r="S111" s="7" t="n">
        <f aca="false">S110*$C$50*$C$51</f>
        <v>0</v>
      </c>
      <c r="T111" s="7" t="n">
        <f aca="false">T110*$C$50*$C$51</f>
        <v>0</v>
      </c>
      <c r="U111" s="7" t="n">
        <f aca="false">U110*$C$50*$C$51</f>
        <v>0</v>
      </c>
      <c r="V111" s="7" t="n">
        <f aca="false">V110*$C$50*$C$51</f>
        <v>0</v>
      </c>
      <c r="W111" s="7" t="n">
        <f aca="false">W110*$C$50*$C$51</f>
        <v>0</v>
      </c>
      <c r="X111" s="7" t="n">
        <f aca="false">X110*$C$50*$C$51</f>
        <v>0</v>
      </c>
      <c r="Y111" s="7" t="n">
        <f aca="false">Y110*$C$50*$C$51</f>
        <v>0</v>
      </c>
      <c r="Z111" s="7" t="n">
        <f aca="false">Z110*$C$50*$C$51</f>
        <v>0</v>
      </c>
      <c r="AA111" s="7" t="n">
        <f aca="false">AA110*$C$50*$C$51</f>
        <v>0</v>
      </c>
      <c r="AB111" s="7" t="n">
        <f aca="false">AB110*$C$50*$C$51</f>
        <v>0</v>
      </c>
      <c r="AC111" s="7" t="n">
        <f aca="false">AC110*$C$50*$C$51</f>
        <v>0</v>
      </c>
      <c r="AD111" s="7" t="n">
        <f aca="false">AD110*$C$50*$C$51</f>
        <v>0</v>
      </c>
      <c r="AE111" s="7" t="n">
        <f aca="false">AE110*$C$50*$C$51</f>
        <v>0</v>
      </c>
      <c r="AF111" s="7" t="n">
        <f aca="false">AF110*$C$50*$C$51</f>
        <v>0</v>
      </c>
      <c r="AG111" s="7" t="n">
        <f aca="false">AG110*$C$50*$C$51</f>
        <v>0</v>
      </c>
      <c r="AH111" s="7" t="n">
        <f aca="false">AH110*$C$50*$C$51</f>
        <v>0</v>
      </c>
      <c r="AI111" s="7" t="n">
        <f aca="false">AI110*$C$50*$C$51</f>
        <v>0</v>
      </c>
      <c r="AJ111" s="7" t="n">
        <f aca="false">AJ110*$C$50*$C$51</f>
        <v>0</v>
      </c>
      <c r="AK111" s="7" t="n">
        <f aca="false">AK110*$C$50*$C$51</f>
        <v>0</v>
      </c>
      <c r="AL111" s="7" t="n">
        <f aca="false">AL110*$C$50*$C$51</f>
        <v>0</v>
      </c>
      <c r="AM111" s="7" t="n">
        <f aca="false">AM110*$C$50*$C$51</f>
        <v>0</v>
      </c>
      <c r="AN111" s="7" t="n">
        <f aca="false">AN110*$C$50*$C$51</f>
        <v>0</v>
      </c>
      <c r="AO111" s="7" t="n">
        <f aca="false">AO110*$C$50*$C$51</f>
        <v>0</v>
      </c>
      <c r="AP111" s="7" t="n">
        <f aca="false">AP110*$C$50*$C$51</f>
        <v>0</v>
      </c>
      <c r="AQ111" s="7" t="n">
        <f aca="false">AQ110*$C$50*$C$51</f>
        <v>0</v>
      </c>
      <c r="AR111" s="7" t="n">
        <f aca="false">AR110*$C$50*$C$51</f>
        <v>0</v>
      </c>
      <c r="AS111" s="7" t="n">
        <f aca="false">AS110*$C$50*$C$51</f>
        <v>0</v>
      </c>
      <c r="AT111" s="7" t="n">
        <f aca="false">AT110*$C$50*$C$51</f>
        <v>0</v>
      </c>
      <c r="AU111" s="7" t="n">
        <f aca="false">AU110*$C$50*$C$51</f>
        <v>0</v>
      </c>
      <c r="AV111" s="7" t="n">
        <f aca="false">AV110*$C$50*$C$51</f>
        <v>0</v>
      </c>
      <c r="AW111" s="7" t="n">
        <f aca="false">AW110*$C$50*$C$51</f>
        <v>0</v>
      </c>
      <c r="AX111" s="7" t="n">
        <f aca="false">AX110*$C$50*$C$51</f>
        <v>0</v>
      </c>
      <c r="AY111" s="7" t="n">
        <f aca="false">AY110*$C$50*$C$51</f>
        <v>0</v>
      </c>
      <c r="AZ111" s="7" t="n">
        <f aca="false">AZ110*$C$50*$C$51</f>
        <v>0</v>
      </c>
      <c r="BA111" s="7" t="n">
        <f aca="false">BA110*$C$50*$C$51</f>
        <v>0</v>
      </c>
      <c r="BB111" s="7" t="n">
        <f aca="false">BB110*$C$50*$C$51</f>
        <v>0</v>
      </c>
      <c r="BC111" s="7" t="n">
        <f aca="false">BC110*$C$50*$C$51</f>
        <v>0</v>
      </c>
      <c r="BD111" s="7" t="n">
        <f aca="false">BD110*$C$50*$C$51</f>
        <v>0</v>
      </c>
      <c r="BE111" s="7" t="n">
        <f aca="false">BE110*$C$50*$C$51</f>
        <v>0</v>
      </c>
      <c r="BF111" s="7" t="n">
        <f aca="false">BF110*$C$50*$C$51</f>
        <v>0</v>
      </c>
      <c r="BG111" s="7" t="n">
        <f aca="false">BG110*$C$50*$C$51</f>
        <v>0</v>
      </c>
      <c r="BH111" s="7" t="n">
        <f aca="false">BH110*$C$50*$C$51</f>
        <v>0</v>
      </c>
      <c r="BI111" s="7" t="n">
        <f aca="false">BI110*$C$50*$C$51</f>
        <v>0</v>
      </c>
      <c r="BJ111" s="7" t="n">
        <f aca="false">BJ110*$C$50*$C$51</f>
        <v>0</v>
      </c>
      <c r="BK111" s="7" t="n">
        <f aca="false">BK110*$C$50*$C$51</f>
        <v>0</v>
      </c>
    </row>
    <row r="112" customFormat="false" ht="15" hidden="false" customHeight="false" outlineLevel="0" collapsed="false">
      <c r="A112" s="0" t="s">
        <v>217</v>
      </c>
      <c r="D112" s="7" t="n">
        <f aca="false">$C$53+$C$54*(D88+D106)</f>
        <v>60.105</v>
      </c>
      <c r="E112" s="7" t="n">
        <f aca="false">$C$53+$C$54*(E88+E106)</f>
        <v>60.185312925</v>
      </c>
      <c r="F112" s="7" t="n">
        <f aca="false">$C$53+$C$54*(F88+F106)</f>
        <v>60.248701236</v>
      </c>
      <c r="G112" s="7" t="n">
        <f aca="false">$C$53+$C$54*(G88+G106)</f>
        <v>60.30062565225</v>
      </c>
      <c r="H112" s="7" t="n">
        <f aca="false">$C$53+$C$54*(H88+H106)</f>
        <v>60.34493667054</v>
      </c>
      <c r="I112" s="7" t="n">
        <f aca="false">$C$53+$C$54*(I88+I106)</f>
        <v>60.3843587593891</v>
      </c>
      <c r="J112" s="7" t="n">
        <f aca="false">$C$53+$C$54*(J88+J106)</f>
        <v>60.4208294252988</v>
      </c>
      <c r="K112" s="7" t="n">
        <f aca="false">$C$53+$C$54*(K88+K106)</f>
        <v>60.4557366900254</v>
      </c>
      <c r="L112" s="7" t="n">
        <f aca="false">$C$53+$C$54*(L88+L106)</f>
        <v>60.4900854570228</v>
      </c>
      <c r="M112" s="7" t="n">
        <f aca="false">$C$53+$C$54*(M88+M106)</f>
        <v>60.5246141025967</v>
      </c>
      <c r="N112" s="7" t="n">
        <f aca="false">$C$53+$C$54*(N88+N106)</f>
        <v>60.5598762274455</v>
      </c>
      <c r="O112" s="7" t="n">
        <f aca="false">$C$53+$C$54*(O88+O106)</f>
        <v>60.5962980243292</v>
      </c>
      <c r="P112" s="7" t="n">
        <f aca="false">$C$53+$C$54*(P88+P106)</f>
        <v>60.6342185816286</v>
      </c>
      <c r="Q112" s="7" t="n">
        <f aca="false">$C$53+$C$54*(Q88+Q106)</f>
        <v>60.6739182473585</v>
      </c>
      <c r="R112" s="7" t="n">
        <f aca="false">$C$53+$C$54*(R88+R106)</f>
        <v>60.7156386415491</v>
      </c>
      <c r="S112" s="7" t="n">
        <f aca="false">$C$53+$C$54*(S88+S106)</f>
        <v>60.7595968292498</v>
      </c>
      <c r="T112" s="7" t="n">
        <f aca="false">$C$53+$C$54*(T88+T106)</f>
        <v>60.8059954134537</v>
      </c>
      <c r="U112" s="7" t="n">
        <f aca="false">$C$53+$C$54*(U88+U106)</f>
        <v>60.8550297801719</v>
      </c>
      <c r="V112" s="7" t="n">
        <f aca="false">$C$53+$C$54*(V88+V106)</f>
        <v>60.9068933589565</v>
      </c>
      <c r="W112" s="7" t="n">
        <f aca="false">$C$53+$C$54*(W88+W106)</f>
        <v>60.96178150393</v>
      </c>
      <c r="X112" s="7" t="n">
        <f aca="false">$C$53+$C$54*(X88+X106)</f>
        <v>61.0198944196338</v>
      </c>
      <c r="Y112" s="7" t="n">
        <f aca="false">$C$53+$C$54*(Y88+Y106)</f>
        <v>61.081439429509</v>
      </c>
      <c r="Z112" s="7" t="n">
        <f aca="false">$C$53+$C$54*(Z88+Z106)</f>
        <v>61.1466327963023</v>
      </c>
      <c r="AA112" s="7" t="n">
        <f aca="false">$C$53+$C$54*(AA88+AA106)</f>
        <v>61.2157012417579</v>
      </c>
      <c r="AB112" s="7" t="n">
        <f aca="false">$C$53+$C$54*(AB88+AB106)</f>
        <v>61.2888832696381</v>
      </c>
      <c r="AC112" s="7" t="n">
        <f aca="false">$C$53+$C$54*(AC88+AC106)</f>
        <v>61.3664303658371</v>
      </c>
      <c r="AD112" s="7" t="n">
        <f aca="false">$C$53+$C$54*(AD88+AD106)</f>
        <v>61.4486081281957</v>
      </c>
      <c r="AE112" s="7" t="n">
        <f aca="false">$C$53+$C$54*(AE88+AE106)</f>
        <v>61.5356973638683</v>
      </c>
      <c r="AF112" s="7" t="n">
        <f aca="false">$C$53+$C$54*(AF88+AF106)</f>
        <v>61.6279951818144</v>
      </c>
      <c r="AG112" s="7" t="n">
        <f aca="false">$C$53+$C$54*(AG88+AG106)</f>
        <v>61.7258161008464</v>
      </c>
      <c r="AH112" s="7" t="n">
        <f aca="false">$C$53+$C$54*(AH88+AH106)</f>
        <v>61.829493188731</v>
      </c>
      <c r="AI112" s="7" t="n">
        <f aca="false">$C$53+$C$54*(AI88+AI106)</f>
        <v>61.9393792444493</v>
      </c>
      <c r="AJ112" s="7" t="n">
        <f aca="false">$C$53+$C$54*(AJ88+AJ106)</f>
        <v>62.0558480334197</v>
      </c>
      <c r="AK112" s="7" t="n">
        <f aca="false">$C$53+$C$54*(AK88+AK106)</f>
        <v>62.1792955839472</v>
      </c>
      <c r="AL112" s="7" t="n">
        <f aca="false">$C$53+$C$54*(AL88+AL106)</f>
        <v>62.3101415521702</v>
      </c>
      <c r="AM112" s="7" t="n">
        <f aca="false">$C$53+$C$54*(AM88+AM106)</f>
        <v>62.4488306621589</v>
      </c>
      <c r="AN112" s="7" t="n">
        <f aca="false">$C$53+$C$54*(AN88+AN106)</f>
        <v>62.5958342274857</v>
      </c>
      <c r="AO112" s="7" t="n">
        <f aca="false">$C$53+$C$54*(AO88+AO106)</f>
        <v>62.7516517604449</v>
      </c>
      <c r="AP112" s="7" t="n">
        <f aca="false">$C$53+$C$54*(AP88+AP106)</f>
        <v>62.9168126751055</v>
      </c>
      <c r="AQ112" s="7" t="n">
        <f aca="false">$C$53+$C$54*(AQ88+AQ106)</f>
        <v>63.0918780904914</v>
      </c>
      <c r="AR112" s="7" t="n">
        <f aca="false">$C$53+$C$54*(AR88+AR106)</f>
        <v>63.2774427403803</v>
      </c>
      <c r="AS112" s="7" t="n">
        <f aca="false">$C$53+$C$54*(AS88+AS106)</f>
        <v>63.4741369964691</v>
      </c>
      <c r="AT112" s="7" t="n">
        <f aca="false">$C$53+$C$54*(AT88+AT106)</f>
        <v>63.6826290119683</v>
      </c>
      <c r="AU112" s="7" t="n">
        <f aca="false">$C$53+$C$54*(AU88+AU106)</f>
        <v>63.9036269930445</v>
      </c>
      <c r="AV112" s="7" t="n">
        <f aca="false">$C$53+$C$54*(AV88+AV106)</f>
        <v>64.1378816059265</v>
      </c>
      <c r="AW112" s="7" t="n">
        <f aca="false">$C$53+$C$54*(AW88+AW106)</f>
        <v>64.3861885279259</v>
      </c>
      <c r="AX112" s="7" t="n">
        <f aca="false">$C$53+$C$54*(AX88+AX106)</f>
        <v>64.6493911510938</v>
      </c>
      <c r="AY112" s="7" t="n">
        <f aca="false">$C$53+$C$54*(AY88+AY106)</f>
        <v>64.9283834477377</v>
      </c>
      <c r="AZ112" s="7" t="n">
        <f aca="false">$C$53+$C$54*(AZ88+AZ106)</f>
        <v>65.2241130075647</v>
      </c>
      <c r="BA112" s="7" t="n">
        <f aca="false">$C$53+$C$54*(BA88+BA106)</f>
        <v>65.5375842567909</v>
      </c>
      <c r="BB112" s="7" t="n">
        <f aca="false">$C$53+$C$54*(BB88+BB106)</f>
        <v>65.8698618701709</v>
      </c>
      <c r="BC112" s="7" t="n">
        <f aca="false">$C$53+$C$54*(BC88+BC106)</f>
        <v>66.2220743875512</v>
      </c>
      <c r="BD112" s="7" t="n">
        <f aca="false">$C$53+$C$54*(BD88+BD106)</f>
        <v>66.5954180472442</v>
      </c>
      <c r="BE112" s="7" t="n">
        <f aca="false">$C$53+$C$54*(BE88+BE106)</f>
        <v>66.9911608492517</v>
      </c>
      <c r="BF112" s="7" t="n">
        <f aca="false">$C$53+$C$54*(BF88+BF106)</f>
        <v>67.4106468621479</v>
      </c>
      <c r="BG112" s="7" t="n">
        <f aca="false">$C$53+$C$54*(BG88+BG106)</f>
        <v>67.8553007882555</v>
      </c>
      <c r="BH112" s="7" t="n">
        <f aca="false">$C$53+$C$54*(BH88+BH106)</f>
        <v>68.3266328026263</v>
      </c>
      <c r="BI112" s="7" t="n">
        <f aca="false">$C$53+$C$54*(BI88+BI106)</f>
        <v>68.8262436822668</v>
      </c>
      <c r="BJ112" s="7" t="n">
        <f aca="false">$C$53+$C$54*(BJ88+BJ106)</f>
        <v>69.3558302430318</v>
      </c>
      <c r="BK112" s="7" t="n">
        <f aca="false">$C$53+$C$54*(BK88+BK106)</f>
        <v>69.9171911026572</v>
      </c>
    </row>
    <row r="113" customFormat="false" ht="15" hidden="false" customHeight="false" outlineLevel="0" collapsed="false">
      <c r="A113" s="0" t="s">
        <v>218</v>
      </c>
      <c r="D113" s="7" t="n">
        <f aca="false">D88*$C$55/60*$C$56</f>
        <v>0.196875</v>
      </c>
      <c r="E113" s="7" t="n">
        <f aca="false">E88*$C$55/60*$C$56</f>
        <v>0.384969375</v>
      </c>
      <c r="F113" s="7" t="n">
        <f aca="false">F88*$C$55/60*$C$56</f>
        <v>0.56600145</v>
      </c>
      <c r="G113" s="7" t="n">
        <f aca="false">G88*$C$55/60*$C$56</f>
        <v>0.74154031875</v>
      </c>
      <c r="H113" s="7" t="n">
        <f aca="false">H88*$C$55/60*$C$56</f>
        <v>0.913025862</v>
      </c>
      <c r="I113" s="7" t="n">
        <f aca="false">I88*$C$55/60*$C$56</f>
        <v>1.0817865912231</v>
      </c>
      <c r="J113" s="7" t="n">
        <f aca="false">J88*$C$55/60*$C$56</f>
        <v>1.24905558454639</v>
      </c>
      <c r="K113" s="7" t="n">
        <f aca="false">K88*$C$55/60*$C$56</f>
        <v>1.41598475058027</v>
      </c>
      <c r="L113" s="7" t="n">
        <f aca="false">L88*$C$55/60*$C$56</f>
        <v>1.58365762852727</v>
      </c>
      <c r="M113" s="7" t="n">
        <f aca="false">M88*$C$55/60*$C$56</f>
        <v>1.75310090893295</v>
      </c>
      <c r="N113" s="7" t="n">
        <f aca="false">N88*$C$55/60*$C$56</f>
        <v>1.92529483832283</v>
      </c>
      <c r="O113" s="7" t="n">
        <f aca="false">O88*$C$55/60*$C$56</f>
        <v>2.10118265240766</v>
      </c>
      <c r="P113" s="7" t="n">
        <f aca="false">P88*$C$55/60*$C$56</f>
        <v>2.28167916623169</v>
      </c>
      <c r="Q113" s="7" t="n">
        <f aca="false">Q88*$C$55/60*$C$56</f>
        <v>2.4676786353187</v>
      </c>
      <c r="R113" s="7" t="n">
        <f aca="false">R88*$C$55/60*$C$56</f>
        <v>2.66006198930505</v>
      </c>
      <c r="S113" s="7" t="n">
        <f aca="false">S88*$C$55/60*$C$56</f>
        <v>2.85970352853066</v>
      </c>
      <c r="T113" s="7" t="n">
        <f aca="false">T88*$C$55/60*$C$56</f>
        <v>3.0674771644078</v>
      </c>
      <c r="U113" s="7" t="n">
        <f aca="false">U88*$C$55/60*$C$56</f>
        <v>3.28426227594337</v>
      </c>
      <c r="V113" s="7" t="n">
        <f aca="false">V88*$C$55/60*$C$56</f>
        <v>3.51094924741355</v>
      </c>
      <c r="W113" s="7" t="n">
        <f aca="false">W88*$C$55/60*$C$56</f>
        <v>3.74844474575713</v>
      </c>
      <c r="X113" s="7" t="n">
        <f aca="false">X88*$C$55/60*$C$56</f>
        <v>3.99767679065664</v>
      </c>
      <c r="Y113" s="7" t="n">
        <f aca="false">Y88*$C$55/60*$C$56</f>
        <v>4.25959966542057</v>
      </c>
      <c r="Z113" s="7" t="n">
        <f aca="false">Z88*$C$55/60*$C$56</f>
        <v>4.53519871258117</v>
      </c>
      <c r="AA113" s="7" t="n">
        <f aca="false">AA88*$C$55/60*$C$56</f>
        <v>4.82549505450782</v>
      </c>
      <c r="AB113" s="7" t="n">
        <f aca="false">AB88*$C$55/60*$C$56</f>
        <v>5.13155027624133</v>
      </c>
      <c r="AC113" s="7" t="n">
        <f aca="false">AC88*$C$55/60*$C$56</f>
        <v>5.45447110512417</v>
      </c>
      <c r="AD113" s="7" t="n">
        <f aca="false">AD88*$C$55/60*$C$56</f>
        <v>5.79541411958514</v>
      </c>
      <c r="AE113" s="7" t="n">
        <f aca="false">AE88*$C$55/60*$C$56</f>
        <v>6.15559051759314</v>
      </c>
      <c r="AF113" s="7" t="n">
        <f aca="false">AF88*$C$55/60*$C$56</f>
        <v>6.53627097378415</v>
      </c>
      <c r="AG113" s="7" t="n">
        <f aca="false">AG88*$C$55/60*$C$56</f>
        <v>6.93879061305749</v>
      </c>
      <c r="AH113" s="7" t="n">
        <f aca="false">AH88*$C$55/60*$C$56</f>
        <v>7.36455412750204</v>
      </c>
      <c r="AI113" s="7" t="n">
        <f aca="false">AI88*$C$55/60*$C$56</f>
        <v>7.81504106282717</v>
      </c>
      <c r="AJ113" s="7" t="n">
        <f aca="false">AJ88*$C$55/60*$C$56</f>
        <v>8.29181130001448</v>
      </c>
      <c r="AK113" s="7" t="n">
        <f aca="false">AK88*$C$55/60*$C$56</f>
        <v>8.79651075765793</v>
      </c>
      <c r="AL113" s="7" t="n">
        <f aca="false">AL88*$C$55/60*$C$56</f>
        <v>9.33087734040563</v>
      </c>
      <c r="AM113" s="7" t="n">
        <f aca="false">AM88*$C$55/60*$C$56</f>
        <v>9.89674715904321</v>
      </c>
      <c r="AN113" s="7" t="n">
        <f aca="false">AN88*$C$55/60*$C$56</f>
        <v>10.4960610480566</v>
      </c>
      <c r="AO113" s="7" t="n">
        <f aca="false">AO88*$C$55/60*$C$56</f>
        <v>11.1308714069705</v>
      </c>
      <c r="AP113" s="7" t="n">
        <f aca="false">AP88*$C$55/60*$C$56</f>
        <v>11.8033493923729</v>
      </c>
      <c r="AQ113" s="7" t="n">
        <f aca="false">AQ88*$C$55/60*$C$56</f>
        <v>12.5157924882965</v>
      </c>
      <c r="AR113" s="7" t="n">
        <f aca="false">AR88*$C$55/60*$C$56</f>
        <v>13.2706324835368</v>
      </c>
      <c r="AS113" s="7" t="n">
        <f aca="false">AS88*$C$55/60*$C$56</f>
        <v>14.0704438855325</v>
      </c>
      <c r="AT113" s="7" t="n">
        <f aca="false">AT88*$C$55/60*$C$56</f>
        <v>14.9179528016226</v>
      </c>
      <c r="AU113" s="7" t="n">
        <f aca="false">AU88*$C$55/60*$C$56</f>
        <v>15.8160463198228</v>
      </c>
      <c r="AV113" s="7" t="n">
        <f aca="false">AV88*$C$55/60*$C$56</f>
        <v>16.7677824227292</v>
      </c>
      <c r="AW113" s="7" t="n">
        <f aca="false">AW88*$C$55/60*$C$56</f>
        <v>17.7764004697662</v>
      </c>
      <c r="AX113" s="7" t="n">
        <f aca="false">AX88*$C$55/60*$C$56</f>
        <v>18.845332284747</v>
      </c>
      <c r="AY113" s="7" t="n">
        <f aca="false">AY88*$C$55/60*$C$56</f>
        <v>19.9782138876124</v>
      </c>
      <c r="AZ113" s="7" t="n">
        <f aca="false">AZ88*$C$55/60*$C$56</f>
        <v>21.1788979112617</v>
      </c>
      <c r="BA113" s="7" t="n">
        <f aca="false">BA88*$C$55/60*$C$56</f>
        <v>22.451466746594</v>
      </c>
      <c r="BB113" s="7" t="n">
        <f aca="false">BB88*$C$55/60*$C$56</f>
        <v>23.8002464612419</v>
      </c>
      <c r="BC113" s="7" t="n">
        <f aca="false">BC88*$C$55/60*$C$56</f>
        <v>25.2298215400101</v>
      </c>
      <c r="BD113" s="7" t="n">
        <f aca="false">BD88*$C$55/60*$C$56</f>
        <v>26.7450504977398</v>
      </c>
      <c r="BE113" s="7" t="n">
        <f aca="false">BE88*$C$55/60*$C$56</f>
        <v>28.3510824182047</v>
      </c>
      <c r="BF113" s="7" t="n">
        <f aca="false">BF88*$C$55/60*$C$56</f>
        <v>30.0533744757243</v>
      </c>
      <c r="BG113" s="7" t="n">
        <f aca="false">BG88*$C$55/60*$C$56</f>
        <v>31.8577104994597</v>
      </c>
      <c r="BH113" s="7" t="n">
        <f aca="false">BH88*$C$55/60*$C$56</f>
        <v>33.7702206438455</v>
      </c>
      <c r="BI113" s="7" t="n">
        <f aca="false">BI88*$C$55/60*$C$56</f>
        <v>35.7974022323218</v>
      </c>
      <c r="BJ113" s="7" t="n">
        <f aca="false">BJ88*$C$55/60*$C$56</f>
        <v>37.9461418454758</v>
      </c>
      <c r="BK113" s="7" t="n">
        <f aca="false">BK88*$C$55/60*$C$56</f>
        <v>40.2237387288915</v>
      </c>
    </row>
    <row r="114" customFormat="false" ht="15" hidden="false" customHeight="false" outlineLevel="0" collapsed="false">
      <c r="A114" s="0" t="s">
        <v>219</v>
      </c>
      <c r="D114" s="7" t="n">
        <f aca="false">$C$23</f>
        <v>0</v>
      </c>
      <c r="E114" s="7" t="n">
        <f aca="false">$C$23</f>
        <v>0</v>
      </c>
      <c r="F114" s="7" t="n">
        <f aca="false">$C$23</f>
        <v>0</v>
      </c>
      <c r="G114" s="7" t="n">
        <f aca="false">$C$23</f>
        <v>0</v>
      </c>
      <c r="H114" s="7" t="n">
        <f aca="false">$C$23</f>
        <v>0</v>
      </c>
      <c r="I114" s="7" t="n">
        <f aca="false">$C$23</f>
        <v>0</v>
      </c>
      <c r="J114" s="7" t="n">
        <f aca="false">$C$23</f>
        <v>0</v>
      </c>
      <c r="K114" s="7" t="n">
        <f aca="false">$C$23</f>
        <v>0</v>
      </c>
      <c r="L114" s="7" t="n">
        <f aca="false">$C$23</f>
        <v>0</v>
      </c>
      <c r="M114" s="7" t="n">
        <f aca="false">$C$23</f>
        <v>0</v>
      </c>
      <c r="N114" s="7" t="n">
        <f aca="false">$C$23</f>
        <v>0</v>
      </c>
      <c r="O114" s="7" t="n">
        <f aca="false">$C$23</f>
        <v>0</v>
      </c>
      <c r="P114" s="7" t="n">
        <f aca="false">$C$23</f>
        <v>0</v>
      </c>
      <c r="Q114" s="7" t="n">
        <f aca="false">$C$23</f>
        <v>0</v>
      </c>
      <c r="R114" s="7" t="n">
        <f aca="false">$C$23</f>
        <v>0</v>
      </c>
      <c r="S114" s="7" t="n">
        <f aca="false">$C$23</f>
        <v>0</v>
      </c>
      <c r="T114" s="7" t="n">
        <f aca="false">$C$23</f>
        <v>0</v>
      </c>
      <c r="U114" s="7" t="n">
        <f aca="false">$C$23</f>
        <v>0</v>
      </c>
      <c r="V114" s="7" t="n">
        <f aca="false">$C$23</f>
        <v>0</v>
      </c>
      <c r="W114" s="7" t="n">
        <f aca="false">$C$23</f>
        <v>0</v>
      </c>
      <c r="X114" s="7" t="n">
        <f aca="false">$C$23</f>
        <v>0</v>
      </c>
      <c r="Y114" s="7" t="n">
        <f aca="false">$C$23</f>
        <v>0</v>
      </c>
      <c r="Z114" s="7" t="n">
        <f aca="false">$C$23</f>
        <v>0</v>
      </c>
      <c r="AA114" s="7" t="n">
        <f aca="false">$C$23</f>
        <v>0</v>
      </c>
      <c r="AB114" s="7" t="n">
        <f aca="false">$C$23</f>
        <v>0</v>
      </c>
      <c r="AC114" s="7" t="n">
        <f aca="false">$C$23</f>
        <v>0</v>
      </c>
      <c r="AD114" s="7" t="n">
        <f aca="false">$C$23</f>
        <v>0</v>
      </c>
      <c r="AE114" s="7" t="n">
        <f aca="false">$C$23</f>
        <v>0</v>
      </c>
      <c r="AF114" s="7" t="n">
        <f aca="false">$C$23</f>
        <v>0</v>
      </c>
      <c r="AG114" s="7" t="n">
        <f aca="false">$C$23</f>
        <v>0</v>
      </c>
      <c r="AH114" s="7" t="n">
        <f aca="false">$C$23</f>
        <v>0</v>
      </c>
      <c r="AI114" s="7" t="n">
        <f aca="false">$C$23</f>
        <v>0</v>
      </c>
      <c r="AJ114" s="7" t="n">
        <f aca="false">$C$23</f>
        <v>0</v>
      </c>
      <c r="AK114" s="7" t="n">
        <f aca="false">$C$23</f>
        <v>0</v>
      </c>
      <c r="AL114" s="7" t="n">
        <f aca="false">$C$23</f>
        <v>0</v>
      </c>
      <c r="AM114" s="7" t="n">
        <f aca="false">$C$23</f>
        <v>0</v>
      </c>
      <c r="AN114" s="7" t="n">
        <f aca="false">$C$23</f>
        <v>0</v>
      </c>
      <c r="AO114" s="7" t="n">
        <f aca="false">$C$23</f>
        <v>0</v>
      </c>
      <c r="AP114" s="7" t="n">
        <f aca="false">$C$23</f>
        <v>0</v>
      </c>
      <c r="AQ114" s="7" t="n">
        <f aca="false">$C$23</f>
        <v>0</v>
      </c>
      <c r="AR114" s="7" t="n">
        <f aca="false">$C$23</f>
        <v>0</v>
      </c>
      <c r="AS114" s="7" t="n">
        <f aca="false">$C$23</f>
        <v>0</v>
      </c>
      <c r="AT114" s="7" t="n">
        <f aca="false">$C$23</f>
        <v>0</v>
      </c>
      <c r="AU114" s="7" t="n">
        <f aca="false">$C$23</f>
        <v>0</v>
      </c>
      <c r="AV114" s="7" t="n">
        <f aca="false">$C$23</f>
        <v>0</v>
      </c>
      <c r="AW114" s="7" t="n">
        <f aca="false">$C$23</f>
        <v>0</v>
      </c>
      <c r="AX114" s="7" t="n">
        <f aca="false">$C$23</f>
        <v>0</v>
      </c>
      <c r="AY114" s="7" t="n">
        <f aca="false">$C$23</f>
        <v>0</v>
      </c>
      <c r="AZ114" s="7" t="n">
        <f aca="false">$C$23</f>
        <v>0</v>
      </c>
      <c r="BA114" s="7" t="n">
        <f aca="false">$C$23</f>
        <v>0</v>
      </c>
      <c r="BB114" s="7" t="n">
        <f aca="false">$C$23</f>
        <v>0</v>
      </c>
      <c r="BC114" s="7" t="n">
        <f aca="false">$C$23</f>
        <v>0</v>
      </c>
      <c r="BD114" s="7" t="n">
        <f aca="false">$C$23</f>
        <v>0</v>
      </c>
      <c r="BE114" s="7" t="n">
        <f aca="false">$C$23</f>
        <v>0</v>
      </c>
      <c r="BF114" s="7" t="n">
        <f aca="false">$C$23</f>
        <v>0</v>
      </c>
      <c r="BG114" s="7" t="n">
        <f aca="false">$C$23</f>
        <v>0</v>
      </c>
      <c r="BH114" s="7" t="n">
        <f aca="false">$C$23</f>
        <v>0</v>
      </c>
      <c r="BI114" s="7" t="n">
        <f aca="false">$C$23</f>
        <v>0</v>
      </c>
      <c r="BJ114" s="7" t="n">
        <f aca="false">$C$23</f>
        <v>0</v>
      </c>
      <c r="BK114" s="7" t="n">
        <f aca="false">$C$23</f>
        <v>0</v>
      </c>
    </row>
    <row r="115" customFormat="false" ht="15" hidden="false" customHeight="false" outlineLevel="0" collapsed="false">
      <c r="A115" s="0" t="s">
        <v>220</v>
      </c>
      <c r="D115" s="7" t="n">
        <f aca="false">D77*D80/MAX(D79,0.000001)*$C$27*$C$33</f>
        <v>0</v>
      </c>
      <c r="E115" s="7" t="n">
        <f aca="false">E77*E80/MAX(E79,0.000001)*$C$27*$C$33</f>
        <v>0</v>
      </c>
      <c r="F115" s="7" t="n">
        <f aca="false">F77*F80/MAX(F79,0.000001)*$C$27*$C$33</f>
        <v>0</v>
      </c>
      <c r="G115" s="7" t="n">
        <f aca="false">G77*G80/MAX(G79,0.000001)*$C$27*$C$33</f>
        <v>0</v>
      </c>
      <c r="H115" s="7" t="n">
        <f aca="false">H77*H80/MAX(H79,0.000001)*$C$27*$C$33</f>
        <v>0</v>
      </c>
      <c r="I115" s="7" t="n">
        <f aca="false">I77*I80/MAX(I79,0.000001)*$C$27*$C$33</f>
        <v>0</v>
      </c>
      <c r="J115" s="7" t="n">
        <f aca="false">J77*J80/MAX(J79,0.000001)*$C$27*$C$33</f>
        <v>0</v>
      </c>
      <c r="K115" s="7" t="n">
        <f aca="false">K77*K80/MAX(K79,0.000001)*$C$27*$C$33</f>
        <v>0</v>
      </c>
      <c r="L115" s="7" t="n">
        <f aca="false">L77*L80/MAX(L79,0.000001)*$C$27*$C$33</f>
        <v>0</v>
      </c>
      <c r="M115" s="7" t="n">
        <f aca="false">M77*M80/MAX(M79,0.000001)*$C$27*$C$33</f>
        <v>0</v>
      </c>
      <c r="N115" s="7" t="n">
        <f aca="false">N77*N80/MAX(N79,0.000001)*$C$27*$C$33</f>
        <v>0</v>
      </c>
      <c r="O115" s="7" t="n">
        <f aca="false">O77*O80/MAX(O79,0.000001)*$C$27*$C$33</f>
        <v>0</v>
      </c>
      <c r="P115" s="7" t="n">
        <f aca="false">P77*P80/MAX(P79,0.000001)*$C$27*$C$33</f>
        <v>0</v>
      </c>
      <c r="Q115" s="7" t="n">
        <f aca="false">Q77*Q80/MAX(Q79,0.000001)*$C$27*$C$33</f>
        <v>0</v>
      </c>
      <c r="R115" s="7" t="n">
        <f aca="false">R77*R80/MAX(R79,0.000001)*$C$27*$C$33</f>
        <v>0</v>
      </c>
      <c r="S115" s="7" t="n">
        <f aca="false">S77*S80/MAX(S79,0.000001)*$C$27*$C$33</f>
        <v>0</v>
      </c>
      <c r="T115" s="7" t="n">
        <f aca="false">T77*T80/MAX(T79,0.000001)*$C$27*$C$33</f>
        <v>0</v>
      </c>
      <c r="U115" s="7" t="n">
        <f aca="false">U77*U80/MAX(U79,0.000001)*$C$27*$C$33</f>
        <v>0</v>
      </c>
      <c r="V115" s="7" t="n">
        <f aca="false">V77*V80/MAX(V79,0.000001)*$C$27*$C$33</f>
        <v>0</v>
      </c>
      <c r="W115" s="7" t="n">
        <f aca="false">W77*W80/MAX(W79,0.000001)*$C$27*$C$33</f>
        <v>0</v>
      </c>
      <c r="X115" s="7" t="n">
        <f aca="false">X77*X80/MAX(X79,0.000001)*$C$27*$C$33</f>
        <v>0</v>
      </c>
      <c r="Y115" s="7" t="n">
        <f aca="false">Y77*Y80/MAX(Y79,0.000001)*$C$27*$C$33</f>
        <v>0</v>
      </c>
      <c r="Z115" s="7" t="n">
        <f aca="false">Z77*Z80/MAX(Z79,0.000001)*$C$27*$C$33</f>
        <v>0</v>
      </c>
      <c r="AA115" s="7" t="n">
        <f aca="false">AA77*AA80/MAX(AA79,0.000001)*$C$27*$C$33</f>
        <v>0</v>
      </c>
      <c r="AB115" s="7" t="n">
        <f aca="false">AB77*AB80/MAX(AB79,0.000001)*$C$27*$C$33</f>
        <v>0</v>
      </c>
      <c r="AC115" s="7" t="n">
        <f aca="false">AC77*AC80/MAX(AC79,0.000001)*$C$27*$C$33</f>
        <v>0</v>
      </c>
      <c r="AD115" s="7" t="n">
        <f aca="false">AD77*AD80/MAX(AD79,0.000001)*$C$27*$C$33</f>
        <v>0</v>
      </c>
      <c r="AE115" s="7" t="n">
        <f aca="false">AE77*AE80/MAX(AE79,0.000001)*$C$27*$C$33</f>
        <v>0</v>
      </c>
      <c r="AF115" s="7" t="n">
        <f aca="false">AF77*AF80/MAX(AF79,0.000001)*$C$27*$C$33</f>
        <v>0</v>
      </c>
      <c r="AG115" s="7" t="n">
        <f aca="false">AG77*AG80/MAX(AG79,0.000001)*$C$27*$C$33</f>
        <v>0</v>
      </c>
      <c r="AH115" s="7" t="n">
        <f aca="false">AH77*AH80/MAX(AH79,0.000001)*$C$27*$C$33</f>
        <v>0</v>
      </c>
      <c r="AI115" s="7" t="n">
        <f aca="false">AI77*AI80/MAX(AI79,0.000001)*$C$27*$C$33</f>
        <v>0</v>
      </c>
      <c r="AJ115" s="7" t="n">
        <f aca="false">AJ77*AJ80/MAX(AJ79,0.000001)*$C$27*$C$33</f>
        <v>0</v>
      </c>
      <c r="AK115" s="7" t="n">
        <f aca="false">AK77*AK80/MAX(AK79,0.000001)*$C$27*$C$33</f>
        <v>0</v>
      </c>
      <c r="AL115" s="7" t="n">
        <f aca="false">AL77*AL80/MAX(AL79,0.000001)*$C$27*$C$33</f>
        <v>0</v>
      </c>
      <c r="AM115" s="7" t="n">
        <f aca="false">AM77*AM80/MAX(AM79,0.000001)*$C$27*$C$33</f>
        <v>0</v>
      </c>
      <c r="AN115" s="7" t="n">
        <f aca="false">AN77*AN80/MAX(AN79,0.000001)*$C$27*$C$33</f>
        <v>0</v>
      </c>
      <c r="AO115" s="7" t="n">
        <f aca="false">AO77*AO80/MAX(AO79,0.000001)*$C$27*$C$33</f>
        <v>0</v>
      </c>
      <c r="AP115" s="7" t="n">
        <f aca="false">AP77*AP80/MAX(AP79,0.000001)*$C$27*$C$33</f>
        <v>0</v>
      </c>
      <c r="AQ115" s="7" t="n">
        <f aca="false">AQ77*AQ80/MAX(AQ79,0.000001)*$C$27*$C$33</f>
        <v>0</v>
      </c>
      <c r="AR115" s="7" t="n">
        <f aca="false">AR77*AR80/MAX(AR79,0.000001)*$C$27*$C$33</f>
        <v>0</v>
      </c>
      <c r="AS115" s="7" t="n">
        <f aca="false">AS77*AS80/MAX(AS79,0.000001)*$C$27*$C$33</f>
        <v>0</v>
      </c>
      <c r="AT115" s="7" t="n">
        <f aca="false">AT77*AT80/MAX(AT79,0.000001)*$C$27*$C$33</f>
        <v>0</v>
      </c>
      <c r="AU115" s="7" t="n">
        <f aca="false">AU77*AU80/MAX(AU79,0.000001)*$C$27*$C$33</f>
        <v>0</v>
      </c>
      <c r="AV115" s="7" t="n">
        <f aca="false">AV77*AV80/MAX(AV79,0.000001)*$C$27*$C$33</f>
        <v>0</v>
      </c>
      <c r="AW115" s="7" t="n">
        <f aca="false">AW77*AW80/MAX(AW79,0.000001)*$C$27*$C$33</f>
        <v>0</v>
      </c>
      <c r="AX115" s="7" t="n">
        <f aca="false">AX77*AX80/MAX(AX79,0.000001)*$C$27*$C$33</f>
        <v>0</v>
      </c>
      <c r="AY115" s="7" t="n">
        <f aca="false">AY77*AY80/MAX(AY79,0.000001)*$C$27*$C$33</f>
        <v>0</v>
      </c>
      <c r="AZ115" s="7" t="n">
        <f aca="false">AZ77*AZ80/MAX(AZ79,0.000001)*$C$27*$C$33</f>
        <v>0</v>
      </c>
      <c r="BA115" s="7" t="n">
        <f aca="false">BA77*BA80/MAX(BA79,0.000001)*$C$27*$C$33</f>
        <v>0</v>
      </c>
      <c r="BB115" s="7" t="n">
        <f aca="false">BB77*BB80/MAX(BB79,0.000001)*$C$27*$C$33</f>
        <v>0</v>
      </c>
      <c r="BC115" s="7" t="n">
        <f aca="false">BC77*BC80/MAX(BC79,0.000001)*$C$27*$C$33</f>
        <v>0</v>
      </c>
      <c r="BD115" s="7" t="n">
        <f aca="false">BD77*BD80/MAX(BD79,0.000001)*$C$27*$C$33</f>
        <v>0</v>
      </c>
      <c r="BE115" s="7" t="n">
        <f aca="false">BE77*BE80/MAX(BE79,0.000001)*$C$27*$C$33</f>
        <v>0</v>
      </c>
      <c r="BF115" s="7" t="n">
        <f aca="false">BF77*BF80/MAX(BF79,0.000001)*$C$27*$C$33</f>
        <v>0</v>
      </c>
      <c r="BG115" s="7" t="n">
        <f aca="false">BG77*BG80/MAX(BG79,0.000001)*$C$27*$C$33</f>
        <v>0</v>
      </c>
      <c r="BH115" s="7" t="n">
        <f aca="false">BH77*BH80/MAX(BH79,0.000001)*$C$27*$C$33</f>
        <v>0</v>
      </c>
      <c r="BI115" s="7" t="n">
        <f aca="false">BI77*BI80/MAX(BI79,0.000001)*$C$27*$C$33</f>
        <v>0</v>
      </c>
      <c r="BJ115" s="7" t="n">
        <f aca="false">BJ77*BJ80/MAX(BJ79,0.000001)*$C$27*$C$33</f>
        <v>0</v>
      </c>
      <c r="BK115" s="7" t="n">
        <f aca="false">BK77*BK80/MAX(BK79,0.000001)*$C$27*$C$33</f>
        <v>0</v>
      </c>
    </row>
    <row r="116" customFormat="false" ht="15" hidden="false" customHeight="false" outlineLevel="0" collapsed="false">
      <c r="A116" s="0" t="s">
        <v>221</v>
      </c>
      <c r="D116" s="7" t="n">
        <f aca="false">$C$57</f>
        <v>40</v>
      </c>
      <c r="E116" s="7" t="n">
        <f aca="false">$C$57</f>
        <v>40</v>
      </c>
      <c r="F116" s="7" t="n">
        <f aca="false">$C$57</f>
        <v>40</v>
      </c>
      <c r="G116" s="7" t="n">
        <f aca="false">$C$57</f>
        <v>40</v>
      </c>
      <c r="H116" s="7" t="n">
        <f aca="false">$C$57</f>
        <v>40</v>
      </c>
      <c r="I116" s="7" t="n">
        <f aca="false">$C$57</f>
        <v>40</v>
      </c>
      <c r="J116" s="7" t="n">
        <f aca="false">$C$57</f>
        <v>40</v>
      </c>
      <c r="K116" s="7" t="n">
        <f aca="false">$C$57</f>
        <v>40</v>
      </c>
      <c r="L116" s="7" t="n">
        <f aca="false">$C$57</f>
        <v>40</v>
      </c>
      <c r="M116" s="7" t="n">
        <f aca="false">$C$57</f>
        <v>40</v>
      </c>
      <c r="N116" s="7" t="n">
        <f aca="false">$C$57</f>
        <v>40</v>
      </c>
      <c r="O116" s="7" t="n">
        <f aca="false">$C$57</f>
        <v>40</v>
      </c>
      <c r="P116" s="7" t="n">
        <f aca="false">$C$57</f>
        <v>40</v>
      </c>
      <c r="Q116" s="7" t="n">
        <f aca="false">$C$57</f>
        <v>40</v>
      </c>
      <c r="R116" s="7" t="n">
        <f aca="false">$C$57</f>
        <v>40</v>
      </c>
      <c r="S116" s="7" t="n">
        <f aca="false">$C$57</f>
        <v>40</v>
      </c>
      <c r="T116" s="7" t="n">
        <f aca="false">$C$57</f>
        <v>40</v>
      </c>
      <c r="U116" s="7" t="n">
        <f aca="false">$C$57</f>
        <v>40</v>
      </c>
      <c r="V116" s="7" t="n">
        <f aca="false">$C$57</f>
        <v>40</v>
      </c>
      <c r="W116" s="7" t="n">
        <f aca="false">$C$57</f>
        <v>40</v>
      </c>
      <c r="X116" s="7" t="n">
        <f aca="false">$C$57</f>
        <v>40</v>
      </c>
      <c r="Y116" s="7" t="n">
        <f aca="false">$C$57</f>
        <v>40</v>
      </c>
      <c r="Z116" s="7" t="n">
        <f aca="false">$C$57</f>
        <v>40</v>
      </c>
      <c r="AA116" s="7" t="n">
        <f aca="false">$C$57</f>
        <v>40</v>
      </c>
      <c r="AB116" s="7" t="n">
        <f aca="false">$C$57</f>
        <v>40</v>
      </c>
      <c r="AC116" s="7" t="n">
        <f aca="false">$C$57</f>
        <v>40</v>
      </c>
      <c r="AD116" s="7" t="n">
        <f aca="false">$C$57</f>
        <v>40</v>
      </c>
      <c r="AE116" s="7" t="n">
        <f aca="false">$C$57</f>
        <v>40</v>
      </c>
      <c r="AF116" s="7" t="n">
        <f aca="false">$C$57</f>
        <v>40</v>
      </c>
      <c r="AG116" s="7" t="n">
        <f aca="false">$C$57</f>
        <v>40</v>
      </c>
      <c r="AH116" s="7" t="n">
        <f aca="false">$C$57</f>
        <v>40</v>
      </c>
      <c r="AI116" s="7" t="n">
        <f aca="false">$C$57</f>
        <v>40</v>
      </c>
      <c r="AJ116" s="7" t="n">
        <f aca="false">$C$57</f>
        <v>40</v>
      </c>
      <c r="AK116" s="7" t="n">
        <f aca="false">$C$57</f>
        <v>40</v>
      </c>
      <c r="AL116" s="7" t="n">
        <f aca="false">$C$57</f>
        <v>40</v>
      </c>
      <c r="AM116" s="7" t="n">
        <f aca="false">$C$57</f>
        <v>40</v>
      </c>
      <c r="AN116" s="7" t="n">
        <f aca="false">$C$57</f>
        <v>40</v>
      </c>
      <c r="AO116" s="7" t="n">
        <f aca="false">$C$57</f>
        <v>40</v>
      </c>
      <c r="AP116" s="7" t="n">
        <f aca="false">$C$57</f>
        <v>40</v>
      </c>
      <c r="AQ116" s="7" t="n">
        <f aca="false">$C$57</f>
        <v>40</v>
      </c>
      <c r="AR116" s="7" t="n">
        <f aca="false">$C$57</f>
        <v>40</v>
      </c>
      <c r="AS116" s="7" t="n">
        <f aca="false">$C$57</f>
        <v>40</v>
      </c>
      <c r="AT116" s="7" t="n">
        <f aca="false">$C$57</f>
        <v>40</v>
      </c>
      <c r="AU116" s="7" t="n">
        <f aca="false">$C$57</f>
        <v>40</v>
      </c>
      <c r="AV116" s="7" t="n">
        <f aca="false">$C$57</f>
        <v>40</v>
      </c>
      <c r="AW116" s="7" t="n">
        <f aca="false">$C$57</f>
        <v>40</v>
      </c>
      <c r="AX116" s="7" t="n">
        <f aca="false">$C$57</f>
        <v>40</v>
      </c>
      <c r="AY116" s="7" t="n">
        <f aca="false">$C$57</f>
        <v>40</v>
      </c>
      <c r="AZ116" s="7" t="n">
        <f aca="false">$C$57</f>
        <v>40</v>
      </c>
      <c r="BA116" s="7" t="n">
        <f aca="false">$C$57</f>
        <v>40</v>
      </c>
      <c r="BB116" s="7" t="n">
        <f aca="false">$C$57</f>
        <v>40</v>
      </c>
      <c r="BC116" s="7" t="n">
        <f aca="false">$C$57</f>
        <v>40</v>
      </c>
      <c r="BD116" s="7" t="n">
        <f aca="false">$C$57</f>
        <v>40</v>
      </c>
      <c r="BE116" s="7" t="n">
        <f aca="false">$C$57</f>
        <v>40</v>
      </c>
      <c r="BF116" s="7" t="n">
        <f aca="false">$C$57</f>
        <v>40</v>
      </c>
      <c r="BG116" s="7" t="n">
        <f aca="false">$C$57</f>
        <v>40</v>
      </c>
      <c r="BH116" s="7" t="n">
        <f aca="false">$C$57</f>
        <v>40</v>
      </c>
      <c r="BI116" s="7" t="n">
        <f aca="false">$C$57</f>
        <v>40</v>
      </c>
      <c r="BJ116" s="7" t="n">
        <f aca="false">$C$57</f>
        <v>40</v>
      </c>
      <c r="BK116" s="7" t="n">
        <f aca="false">$C$57</f>
        <v>40</v>
      </c>
    </row>
    <row r="117" customFormat="false" ht="15" hidden="false" customHeight="false" outlineLevel="0" collapsed="false">
      <c r="A117" s="0" t="s">
        <v>222</v>
      </c>
      <c r="D117" s="7" t="n">
        <f aca="false">$C$58</f>
        <v>0</v>
      </c>
      <c r="E117" s="7" t="n">
        <f aca="false">$C$58</f>
        <v>0</v>
      </c>
      <c r="F117" s="7" t="n">
        <f aca="false">$C$58</f>
        <v>0</v>
      </c>
      <c r="G117" s="7" t="n">
        <f aca="false">$C$58</f>
        <v>0</v>
      </c>
      <c r="H117" s="7" t="n">
        <f aca="false">$C$58</f>
        <v>0</v>
      </c>
      <c r="I117" s="7" t="n">
        <f aca="false">$C$58</f>
        <v>0</v>
      </c>
      <c r="J117" s="7" t="n">
        <f aca="false">$C$58</f>
        <v>0</v>
      </c>
      <c r="K117" s="7" t="n">
        <f aca="false">$C$58</f>
        <v>0</v>
      </c>
      <c r="L117" s="7" t="n">
        <f aca="false">$C$58</f>
        <v>0</v>
      </c>
      <c r="M117" s="7" t="n">
        <f aca="false">$C$58</f>
        <v>0</v>
      </c>
      <c r="N117" s="7" t="n">
        <f aca="false">$C$58</f>
        <v>0</v>
      </c>
      <c r="O117" s="7" t="n">
        <f aca="false">$C$58</f>
        <v>0</v>
      </c>
      <c r="P117" s="7" t="n">
        <f aca="false">$C$58</f>
        <v>0</v>
      </c>
      <c r="Q117" s="7" t="n">
        <f aca="false">$C$58</f>
        <v>0</v>
      </c>
      <c r="R117" s="7" t="n">
        <f aca="false">$C$58</f>
        <v>0</v>
      </c>
      <c r="S117" s="7" t="n">
        <f aca="false">$C$58</f>
        <v>0</v>
      </c>
      <c r="T117" s="7" t="n">
        <f aca="false">$C$58</f>
        <v>0</v>
      </c>
      <c r="U117" s="7" t="n">
        <f aca="false">$C$58</f>
        <v>0</v>
      </c>
      <c r="V117" s="7" t="n">
        <f aca="false">$C$58</f>
        <v>0</v>
      </c>
      <c r="W117" s="7" t="n">
        <f aca="false">$C$58</f>
        <v>0</v>
      </c>
      <c r="X117" s="7" t="n">
        <f aca="false">$C$58</f>
        <v>0</v>
      </c>
      <c r="Y117" s="7" t="n">
        <f aca="false">$C$58</f>
        <v>0</v>
      </c>
      <c r="Z117" s="7" t="n">
        <f aca="false">$C$58</f>
        <v>0</v>
      </c>
      <c r="AA117" s="7" t="n">
        <f aca="false">$C$58</f>
        <v>0</v>
      </c>
      <c r="AB117" s="7" t="n">
        <f aca="false">$C$58</f>
        <v>0</v>
      </c>
      <c r="AC117" s="7" t="n">
        <f aca="false">$C$58</f>
        <v>0</v>
      </c>
      <c r="AD117" s="7" t="n">
        <f aca="false">$C$58</f>
        <v>0</v>
      </c>
      <c r="AE117" s="7" t="n">
        <f aca="false">$C$58</f>
        <v>0</v>
      </c>
      <c r="AF117" s="7" t="n">
        <f aca="false">$C$58</f>
        <v>0</v>
      </c>
      <c r="AG117" s="7" t="n">
        <f aca="false">$C$58</f>
        <v>0</v>
      </c>
      <c r="AH117" s="7" t="n">
        <f aca="false">$C$58</f>
        <v>0</v>
      </c>
      <c r="AI117" s="7" t="n">
        <f aca="false">$C$58</f>
        <v>0</v>
      </c>
      <c r="AJ117" s="7" t="n">
        <f aca="false">$C$58</f>
        <v>0</v>
      </c>
      <c r="AK117" s="7" t="n">
        <f aca="false">$C$58</f>
        <v>0</v>
      </c>
      <c r="AL117" s="7" t="n">
        <f aca="false">$C$58</f>
        <v>0</v>
      </c>
      <c r="AM117" s="7" t="n">
        <f aca="false">$C$58</f>
        <v>0</v>
      </c>
      <c r="AN117" s="7" t="n">
        <f aca="false">$C$58</f>
        <v>0</v>
      </c>
      <c r="AO117" s="7" t="n">
        <f aca="false">$C$58</f>
        <v>0</v>
      </c>
      <c r="AP117" s="7" t="n">
        <f aca="false">$C$58</f>
        <v>0</v>
      </c>
      <c r="AQ117" s="7" t="n">
        <f aca="false">$C$58</f>
        <v>0</v>
      </c>
      <c r="AR117" s="7" t="n">
        <f aca="false">$C$58</f>
        <v>0</v>
      </c>
      <c r="AS117" s="7" t="n">
        <f aca="false">$C$58</f>
        <v>0</v>
      </c>
      <c r="AT117" s="7" t="n">
        <f aca="false">$C$58</f>
        <v>0</v>
      </c>
      <c r="AU117" s="7" t="n">
        <f aca="false">$C$58</f>
        <v>0</v>
      </c>
      <c r="AV117" s="7" t="n">
        <f aca="false">$C$58</f>
        <v>0</v>
      </c>
      <c r="AW117" s="7" t="n">
        <f aca="false">$C$58</f>
        <v>0</v>
      </c>
      <c r="AX117" s="7" t="n">
        <f aca="false">$C$58</f>
        <v>0</v>
      </c>
      <c r="AY117" s="7" t="n">
        <f aca="false">$C$58</f>
        <v>0</v>
      </c>
      <c r="AZ117" s="7" t="n">
        <f aca="false">$C$58</f>
        <v>0</v>
      </c>
      <c r="BA117" s="7" t="n">
        <f aca="false">$C$58</f>
        <v>0</v>
      </c>
      <c r="BB117" s="7" t="n">
        <f aca="false">$C$58</f>
        <v>0</v>
      </c>
      <c r="BC117" s="7" t="n">
        <f aca="false">$C$58</f>
        <v>0</v>
      </c>
      <c r="BD117" s="7" t="n">
        <f aca="false">$C$58</f>
        <v>0</v>
      </c>
      <c r="BE117" s="7" t="n">
        <f aca="false">$C$58</f>
        <v>0</v>
      </c>
      <c r="BF117" s="7" t="n">
        <f aca="false">$C$58</f>
        <v>0</v>
      </c>
      <c r="BG117" s="7" t="n">
        <f aca="false">$C$58</f>
        <v>0</v>
      </c>
      <c r="BH117" s="7" t="n">
        <f aca="false">$C$58</f>
        <v>0</v>
      </c>
      <c r="BI117" s="7" t="n">
        <f aca="false">$C$58</f>
        <v>0</v>
      </c>
      <c r="BJ117" s="7" t="n">
        <f aca="false">$C$58</f>
        <v>0</v>
      </c>
      <c r="BK117" s="7" t="n">
        <f aca="false">$C$58</f>
        <v>0</v>
      </c>
    </row>
    <row r="118" customFormat="false" ht="15" hidden="false" customHeight="false" outlineLevel="0" collapsed="false">
      <c r="A118" s="6" t="s">
        <v>223</v>
      </c>
      <c r="D118" s="7" t="n">
        <f aca="false">D104-D111-D112-D113-D114-D115-D116-D117</f>
        <v>-98.7473375498152</v>
      </c>
      <c r="E118" s="7" t="n">
        <f aca="false">E104-E111-E112-E113-E114-E115-E116-E117</f>
        <v>-97.4582647808716</v>
      </c>
      <c r="F118" s="7" t="n">
        <f aca="false">F104-F111-F112-F113-F114-F115-F116-F117</f>
        <v>-96.1860915889973</v>
      </c>
      <c r="G118" s="7" t="n">
        <f aca="false">G104-G111-G112-G113-G114-G115-G116-G117</f>
        <v>-94.9271069821786</v>
      </c>
      <c r="H118" s="7" t="n">
        <f aca="false">H104-H111-H112-H113-H114-H115-H116-H117</f>
        <v>-93.6765882645344</v>
      </c>
      <c r="I118" s="7" t="n">
        <f aca="false">I104-I111-I112-I113-I114-I115-I116-I117</f>
        <v>-92.429197584502</v>
      </c>
      <c r="J118" s="7" t="n">
        <f aca="false">J104-J111-J112-J113-J114-J115-J116-J117</f>
        <v>-91.1792418585085</v>
      </c>
      <c r="K118" s="7" t="n">
        <f aca="false">K104-K111-K112-K113-K114-K115-K116-K117</f>
        <v>-89.9208385482337</v>
      </c>
      <c r="L118" s="7" t="n">
        <f aca="false">L104-L111-L112-L113-L114-L115-L116-L117</f>
        <v>-88.6480168274934</v>
      </c>
      <c r="M118" s="7" t="n">
        <f aca="false">M104-M111-M112-M113-M114-M115-M116-M117</f>
        <v>-87.3547746366095</v>
      </c>
      <c r="N118" s="7" t="n">
        <f aca="false">N104-N111-N112-N113-N114-N115-N116-N117</f>
        <v>-86.0351058140891</v>
      </c>
      <c r="O118" s="7" t="n">
        <f aca="false">O104-O111-O112-O113-O114-O115-O116-O117</f>
        <v>-84.6830070962006</v>
      </c>
      <c r="P118" s="7" t="n">
        <f aca="false">P104-P111-P112-P113-P114-P115-P116-P117</f>
        <v>-83.2924717099031</v>
      </c>
      <c r="Q118" s="7" t="n">
        <f aca="false">Q104-Q111-Q112-Q113-Q114-Q115-Q116-Q117</f>
        <v>-81.8574741515444</v>
      </c>
      <c r="R118" s="7" t="n">
        <f aca="false">R104-R111-R112-R113-R114-R115-R116-R117</f>
        <v>-80.3719492615576</v>
      </c>
      <c r="S118" s="7" t="n">
        <f aca="false">S104-S111-S112-S113-S114-S115-S116-S117</f>
        <v>-78.8297676773839</v>
      </c>
      <c r="T118" s="7" t="n">
        <f aca="false">T104-T111-T112-T113-T114-T115-T116-T117</f>
        <v>-77.2247090355169</v>
      </c>
      <c r="U118" s="7" t="n">
        <f aca="false">U104-U111-U112-U113-U114-U115-U116-U117</f>
        <v>-75.5504338027817</v>
      </c>
      <c r="V118" s="7" t="n">
        <f aca="false">V104-V111-V112-V113-V114-V115-V116-V117</f>
        <v>-73.8004542795662</v>
      </c>
      <c r="W118" s="7" t="n">
        <f aca="false">W104-W111-W112-W113-W114-W115-W116-W117</f>
        <v>-71.9681050868035</v>
      </c>
      <c r="X118" s="7" t="n">
        <f aca="false">X104-X111-X112-X113-X114-X115-X116-X117</f>
        <v>-70.04651329133</v>
      </c>
      <c r="Y118" s="7" t="n">
        <f aca="false">Y104-Y111-Y112-Y113-Y114-Y115-Y116-Y117</f>
        <v>-68.0285682179667</v>
      </c>
      <c r="Z118" s="7" t="n">
        <f aca="false">Z104-Z111-Z112-Z113-Z114-Z115-Z116-Z117</f>
        <v>-65.9068909253872</v>
      </c>
      <c r="AA118" s="7" t="n">
        <f aca="false">AA104-AA111-AA112-AA113-AA114-AA115-AA116-AA117</f>
        <v>-63.6738032754605</v>
      </c>
      <c r="AB118" s="7" t="n">
        <f aca="false">AB104-AB111-AB112-AB113-AB114-AB115-AB116-AB117</f>
        <v>-61.3212964945938</v>
      </c>
      <c r="AC118" s="7" t="n">
        <f aca="false">AC104-AC111-AC112-AC113-AC114-AC115-AC116-AC117</f>
        <v>-58.8409991053097</v>
      </c>
      <c r="AD118" s="7" t="n">
        <f aca="false">AD104-AD111-AD112-AD113-AD114-AD115-AD116-AD117</f>
        <v>-56.2241440931637</v>
      </c>
      <c r="AE118" s="7" t="n">
        <f aca="false">AE104-AE111-AE112-AE113-AE114-AE115-AE116-AE117</f>
        <v>-53.4615351656068</v>
      </c>
      <c r="AF118" s="7" t="n">
        <f aca="false">AF104-AF111-AF112-AF113-AF114-AF115-AF116-AF117</f>
        <v>-50.5435119537411</v>
      </c>
      <c r="AG118" s="7" t="n">
        <f aca="false">AG104-AG111-AG112-AG113-AG114-AG115-AG116-AG117</f>
        <v>-47.4599140039238</v>
      </c>
      <c r="AH118" s="7" t="n">
        <f aca="false">AH104-AH111-AH112-AH113-AH114-AH115-AH116-AH117</f>
        <v>-44.200043403002</v>
      </c>
      <c r="AI118" s="7" t="n">
        <f aca="false">AI104-AI111-AI112-AI113-AI114-AI115-AI116-AI117</f>
        <v>-40.7526258780685</v>
      </c>
      <c r="AJ118" s="7" t="n">
        <f aca="false">AJ104-AJ111-AJ112-AJ113-AJ114-AJ115-AJ116-AJ117</f>
        <v>-37.1057702086247</v>
      </c>
      <c r="AK118" s="7" t="n">
        <f aca="false">AK104-AK111-AK112-AK113-AK114-AK115-AK116-AK117</f>
        <v>-33.246925785681</v>
      </c>
      <c r="AL118" s="7" t="n">
        <f aca="false">AL104-AL111-AL112-AL113-AL114-AL115-AL116-AL117</f>
        <v>-29.1628381484436</v>
      </c>
      <c r="AM118" s="7" t="n">
        <f aca="false">AM104-AM111-AM112-AM113-AM114-AM115-AM116-AM117</f>
        <v>-24.8395023247211</v>
      </c>
      <c r="AN118" s="7" t="n">
        <f aca="false">AN104-AN111-AN112-AN113-AN114-AN115-AN116-AN117</f>
        <v>-20.262113795958</v>
      </c>
      <c r="AO118" s="7" t="n">
        <f aca="false">AO104-AO111-AO112-AO113-AO114-AO115-AO116-AO117</f>
        <v>-15.4150169018198</v>
      </c>
      <c r="AP118" s="7" t="n">
        <f aca="false">AP104-AP111-AP112-AP113-AP114-AP115-AP116-AP117</f>
        <v>-10.2816504924766</v>
      </c>
      <c r="AQ118" s="7" t="n">
        <f aca="false">AQ104-AQ111-AQ112-AQ113-AQ114-AQ115-AQ116-AQ117</f>
        <v>-4.84449062913616</v>
      </c>
      <c r="AR118" s="7" t="n">
        <f aca="false">AR104-AR111-AR112-AR113-AR114-AR115-AR116-AR117</f>
        <v>0.915009875060846</v>
      </c>
      <c r="AS118" s="7" t="n">
        <f aca="false">AS104-AS111-AS112-AS113-AS114-AS115-AS116-AS117</f>
        <v>7.01648529097291</v>
      </c>
      <c r="AT118" s="7" t="n">
        <f aca="false">AT104-AT111-AT112-AT113-AT114-AT115-AT116-AT117</f>
        <v>13.4807244135871</v>
      </c>
      <c r="AU118" s="7" t="n">
        <f aca="false">AU104-AU111-AU112-AU113-AU114-AU115-AU116-AU117</f>
        <v>20.3297418448093</v>
      </c>
      <c r="AV118" s="7" t="n">
        <f aca="false">AV104-AV111-AV112-AV113-AV114-AV115-AV116-AV117</f>
        <v>27.5868533693983</v>
      </c>
      <c r="AW118" s="7" t="n">
        <f aca="false">AW104-AW111-AW112-AW113-AW114-AW115-AW116-AW117</f>
        <v>35.2767556875129</v>
      </c>
      <c r="AX118" s="7" t="n">
        <f aca="false">AX104-AX111-AX112-AX113-AX114-AX115-AX116-AX117</f>
        <v>43.4256107813186</v>
      </c>
      <c r="AY118" s="7" t="n">
        <f aca="false">AY104-AY111-AY112-AY113-AY114-AY115-AY116-AY117</f>
        <v>52.0611352081115</v>
      </c>
      <c r="AZ118" s="7" t="n">
        <f aca="false">AZ104-AZ111-AZ112-AZ113-AZ114-AZ115-AZ116-AZ117</f>
        <v>61.2126946284995</v>
      </c>
      <c r="BA118" s="7" t="n">
        <f aca="false">BA104-BA111-BA112-BA113-BA114-BA115-BA116-BA117</f>
        <v>70.9114038953885</v>
      </c>
      <c r="BB118" s="7" t="n">
        <f aca="false">BB104-BB111-BB112-BB113-BB114-BB115-BB116-BB117</f>
        <v>81.190233047888</v>
      </c>
      <c r="BC118" s="7" t="n">
        <f aca="false">BC104-BC111-BC112-BC113-BC114-BC115-BC116-BC117</f>
        <v>92.0841195738584</v>
      </c>
      <c r="BD118" s="7" t="n">
        <f aca="false">BD104-BD111-BD112-BD113-BD114-BD115-BD116-BD117</f>
        <v>103.630087325697</v>
      </c>
      <c r="BE118" s="7" t="n">
        <f aca="false">BE104-BE111-BE112-BE113-BE114-BE115-BE116-BE117</f>
        <v>115.867372496208</v>
      </c>
      <c r="BF118" s="7" t="n">
        <f aca="false">BF104-BF111-BF112-BF113-BF114-BF115-BF116-BF117</f>
        <v>128.837557085044</v>
      </c>
      <c r="BG118" s="7" t="n">
        <f aca="false">BG104-BG111-BG112-BG113-BG114-BG115-BG116-BG117</f>
        <v>142.584710311376</v>
      </c>
      <c r="BH118" s="7" t="n">
        <f aca="false">BH104-BH111-BH112-BH113-BH114-BH115-BH116-BH117</f>
        <v>157.155538455181</v>
      </c>
      <c r="BI118" s="7" t="n">
        <f aca="false">BI104-BI111-BI112-BI113-BI114-BI115-BI116-BI117</f>
        <v>172.599543637913</v>
      </c>
      <c r="BJ118" s="7" t="n">
        <f aca="false">BJ104-BJ111-BJ112-BJ113-BJ114-BJ115-BJ116-BJ117</f>
        <v>188.969192083533</v>
      </c>
      <c r="BK118" s="7" t="n">
        <f aca="false">BK104-BK111-BK112-BK113-BK114-BK115-BK116-BK117</f>
        <v>206.320092432828</v>
      </c>
    </row>
    <row r="119" customFormat="false" ht="15" hidden="false" customHeight="false" outlineLevel="0" collapsed="false">
      <c r="A119" s="0" t="s">
        <v>224</v>
      </c>
      <c r="C119" s="0" t="n">
        <v>0</v>
      </c>
      <c r="D119" s="7" t="n">
        <f aca="false">C119+D118</f>
        <v>-98.7473375498152</v>
      </c>
      <c r="E119" s="7" t="n">
        <f aca="false">D119+E118</f>
        <v>-196.205602330687</v>
      </c>
      <c r="F119" s="7" t="n">
        <f aca="false">E119+F118</f>
        <v>-292.391693919684</v>
      </c>
      <c r="G119" s="7" t="n">
        <f aca="false">F119+G118</f>
        <v>-387.318800901863</v>
      </c>
      <c r="H119" s="7" t="n">
        <f aca="false">G119+H118</f>
        <v>-480.995389166397</v>
      </c>
      <c r="I119" s="7" t="n">
        <f aca="false">H119+I118</f>
        <v>-573.424586750899</v>
      </c>
      <c r="J119" s="7" t="n">
        <f aca="false">I119+J118</f>
        <v>-664.603828609408</v>
      </c>
      <c r="K119" s="7" t="n">
        <f aca="false">J119+K118</f>
        <v>-754.524667157641</v>
      </c>
      <c r="L119" s="7" t="n">
        <f aca="false">K119+L118</f>
        <v>-843.172683985135</v>
      </c>
      <c r="M119" s="7" t="n">
        <f aca="false">L119+M118</f>
        <v>-930.527458621744</v>
      </c>
      <c r="N119" s="7" t="n">
        <f aca="false">M119+N118</f>
        <v>-1016.56256443583</v>
      </c>
      <c r="O119" s="7" t="n">
        <f aca="false">N119+O118</f>
        <v>-1101.24557153203</v>
      </c>
      <c r="P119" s="7" t="n">
        <f aca="false">O119+P118</f>
        <v>-1184.53804324194</v>
      </c>
      <c r="Q119" s="7" t="n">
        <f aca="false">P119+Q118</f>
        <v>-1266.39551739348</v>
      </c>
      <c r="R119" s="7" t="n">
        <f aca="false">Q119+R118</f>
        <v>-1346.76746665504</v>
      </c>
      <c r="S119" s="7" t="n">
        <f aca="false">R119+S118</f>
        <v>-1425.59723433242</v>
      </c>
      <c r="T119" s="7" t="n">
        <f aca="false">S119+T118</f>
        <v>-1502.82194336794</v>
      </c>
      <c r="U119" s="7" t="n">
        <f aca="false">T119+U118</f>
        <v>-1578.37237717072</v>
      </c>
      <c r="V119" s="7" t="n">
        <f aca="false">U119+V118</f>
        <v>-1652.17283145029</v>
      </c>
      <c r="W119" s="7" t="n">
        <f aca="false">V119+W118</f>
        <v>-1724.14093653709</v>
      </c>
      <c r="X119" s="7" t="n">
        <f aca="false">W119+X118</f>
        <v>-1794.18744982842</v>
      </c>
      <c r="Y119" s="7" t="n">
        <f aca="false">X119+Y118</f>
        <v>-1862.21601804639</v>
      </c>
      <c r="Z119" s="7" t="n">
        <f aca="false">Y119+Z118</f>
        <v>-1928.12290897178</v>
      </c>
      <c r="AA119" s="7" t="n">
        <f aca="false">Z119+AA118</f>
        <v>-1991.79671224724</v>
      </c>
      <c r="AB119" s="7" t="n">
        <f aca="false">AA119+AB118</f>
        <v>-2053.11800874183</v>
      </c>
      <c r="AC119" s="7" t="n">
        <f aca="false">AB119+AC118</f>
        <v>-2111.95900784714</v>
      </c>
      <c r="AD119" s="7" t="n">
        <f aca="false">AC119+AD118</f>
        <v>-2168.1831519403</v>
      </c>
      <c r="AE119" s="7" t="n">
        <f aca="false">AD119+AE118</f>
        <v>-2221.64468710591</v>
      </c>
      <c r="AF119" s="7" t="n">
        <f aca="false">AE119+AF118</f>
        <v>-2272.18819905965</v>
      </c>
      <c r="AG119" s="7" t="n">
        <f aca="false">AF119+AG118</f>
        <v>-2319.64811306357</v>
      </c>
      <c r="AH119" s="7" t="n">
        <f aca="false">AG119+AH118</f>
        <v>-2363.84815646658</v>
      </c>
      <c r="AI119" s="7" t="n">
        <f aca="false">AH119+AI118</f>
        <v>-2404.60078234464</v>
      </c>
      <c r="AJ119" s="7" t="n">
        <f aca="false">AI119+AJ118</f>
        <v>-2441.70655255327</v>
      </c>
      <c r="AK119" s="7" t="n">
        <f aca="false">AJ119+AK118</f>
        <v>-2474.95347833895</v>
      </c>
      <c r="AL119" s="7" t="n">
        <f aca="false">AK119+AL118</f>
        <v>-2504.11631648739</v>
      </c>
      <c r="AM119" s="7" t="n">
        <f aca="false">AL119+AM118</f>
        <v>-2528.95581881211</v>
      </c>
      <c r="AN119" s="7" t="n">
        <f aca="false">AM119+AN118</f>
        <v>-2549.21793260807</v>
      </c>
      <c r="AO119" s="7" t="n">
        <f aca="false">AN119+AO118</f>
        <v>-2564.63294950989</v>
      </c>
      <c r="AP119" s="7" t="n">
        <f aca="false">AO119+AP118</f>
        <v>-2574.91460000237</v>
      </c>
      <c r="AQ119" s="7" t="n">
        <f aca="false">AP119+AQ118</f>
        <v>-2579.75909063151</v>
      </c>
      <c r="AR119" s="7" t="n">
        <f aca="false">AQ119+AR118</f>
        <v>-2578.84408075644</v>
      </c>
      <c r="AS119" s="7" t="n">
        <f aca="false">AR119+AS118</f>
        <v>-2571.82759546547</v>
      </c>
      <c r="AT119" s="7" t="n">
        <f aca="false">AS119+AT118</f>
        <v>-2558.34687105188</v>
      </c>
      <c r="AU119" s="7" t="n">
        <f aca="false">AT119+AU118</f>
        <v>-2538.01712920708</v>
      </c>
      <c r="AV119" s="7" t="n">
        <f aca="false">AU119+AV118</f>
        <v>-2510.43027583768</v>
      </c>
      <c r="AW119" s="7" t="n">
        <f aca="false">AV119+AW118</f>
        <v>-2475.15352015016</v>
      </c>
      <c r="AX119" s="7" t="n">
        <f aca="false">AW119+AX118</f>
        <v>-2431.72790936885</v>
      </c>
      <c r="AY119" s="7" t="n">
        <f aca="false">AX119+AY118</f>
        <v>-2379.66677416073</v>
      </c>
      <c r="AZ119" s="7" t="n">
        <f aca="false">AY119+AZ118</f>
        <v>-2318.45407953223</v>
      </c>
      <c r="BA119" s="7" t="n">
        <f aca="false">AZ119+BA118</f>
        <v>-2247.54267563685</v>
      </c>
      <c r="BB119" s="7" t="n">
        <f aca="false">BA119+BB118</f>
        <v>-2166.35244258896</v>
      </c>
      <c r="BC119" s="7" t="n">
        <f aca="false">BB119+BC118</f>
        <v>-2074.2683230151</v>
      </c>
      <c r="BD119" s="7" t="n">
        <f aca="false">BC119+BD118</f>
        <v>-1970.6382356894</v>
      </c>
      <c r="BE119" s="7" t="n">
        <f aca="false">BD119+BE118</f>
        <v>-1854.77086319319</v>
      </c>
      <c r="BF119" s="7" t="n">
        <f aca="false">BE119+BF118</f>
        <v>-1725.93330610815</v>
      </c>
      <c r="BG119" s="7" t="n">
        <f aca="false">BF119+BG118</f>
        <v>-1583.34859579677</v>
      </c>
      <c r="BH119" s="7" t="n">
        <f aca="false">BG119+BH118</f>
        <v>-1426.19305734159</v>
      </c>
      <c r="BI119" s="7" t="n">
        <f aca="false">BH119+BI118</f>
        <v>-1253.59351370368</v>
      </c>
      <c r="BJ119" s="7" t="n">
        <f aca="false">BI119+BJ118</f>
        <v>-1064.62432162015</v>
      </c>
      <c r="BK119" s="7" t="n">
        <f aca="false">BJ119+BK118</f>
        <v>-858.304229187319</v>
      </c>
    </row>
    <row r="120" customFormat="false" ht="15" hidden="false" customHeight="false" outlineLevel="0" collapsed="false">
      <c r="A120" s="0" t="s">
        <v>225</v>
      </c>
      <c r="D120" s="11" t="n">
        <f aca="false">IF(D81&gt;0,(D114+D115)/D81,0)</f>
        <v>0</v>
      </c>
      <c r="E120" s="11" t="n">
        <f aca="false">IF(E81&gt;0,(E114+E115)/E81,0)</f>
        <v>0</v>
      </c>
      <c r="F120" s="11" t="n">
        <f aca="false">IF(F81&gt;0,(F114+F115)/F81,0)</f>
        <v>0</v>
      </c>
      <c r="G120" s="11" t="n">
        <f aca="false">IF(G81&gt;0,(G114+G115)/G81,0)</f>
        <v>0</v>
      </c>
      <c r="H120" s="11" t="n">
        <f aca="false">IF(H81&gt;0,(H114+H115)/H81,0)</f>
        <v>0</v>
      </c>
      <c r="I120" s="11" t="n">
        <f aca="false">IF(I81&gt;0,(I114+I115)/I81,0)</f>
        <v>0</v>
      </c>
      <c r="J120" s="11" t="n">
        <f aca="false">IF(J81&gt;0,(J114+J115)/J81,0)</f>
        <v>0</v>
      </c>
      <c r="K120" s="11" t="n">
        <f aca="false">IF(K81&gt;0,(K114+K115)/K81,0)</f>
        <v>0</v>
      </c>
      <c r="L120" s="11" t="n">
        <f aca="false">IF(L81&gt;0,(L114+L115)/L81,0)</f>
        <v>0</v>
      </c>
      <c r="M120" s="11" t="n">
        <f aca="false">IF(M81&gt;0,(M114+M115)/M81,0)</f>
        <v>0</v>
      </c>
      <c r="N120" s="11" t="n">
        <f aca="false">IF(N81&gt;0,(N114+N115)/N81,0)</f>
        <v>0</v>
      </c>
      <c r="O120" s="11" t="n">
        <f aca="false">IF(O81&gt;0,(O114+O115)/O81,0)</f>
        <v>0</v>
      </c>
      <c r="P120" s="11" t="n">
        <f aca="false">IF(P81&gt;0,(P114+P115)/P81,0)</f>
        <v>0</v>
      </c>
      <c r="Q120" s="11" t="n">
        <f aca="false">IF(Q81&gt;0,(Q114+Q115)/Q81,0)</f>
        <v>0</v>
      </c>
      <c r="R120" s="11" t="n">
        <f aca="false">IF(R81&gt;0,(R114+R115)/R81,0)</f>
        <v>0</v>
      </c>
      <c r="S120" s="11" t="n">
        <f aca="false">IF(S81&gt;0,(S114+S115)/S81,0)</f>
        <v>0</v>
      </c>
      <c r="T120" s="11" t="n">
        <f aca="false">IF(T81&gt;0,(T114+T115)/T81,0)</f>
        <v>0</v>
      </c>
      <c r="U120" s="11" t="n">
        <f aca="false">IF(U81&gt;0,(U114+U115)/U81,0)</f>
        <v>0</v>
      </c>
      <c r="V120" s="11" t="n">
        <f aca="false">IF(V81&gt;0,(V114+V115)/V81,0)</f>
        <v>0</v>
      </c>
      <c r="W120" s="11" t="n">
        <f aca="false">IF(W81&gt;0,(W114+W115)/W81,0)</f>
        <v>0</v>
      </c>
      <c r="X120" s="11" t="n">
        <f aca="false">IF(X81&gt;0,(X114+X115)/X81,0)</f>
        <v>0</v>
      </c>
      <c r="Y120" s="11" t="n">
        <f aca="false">IF(Y81&gt;0,(Y114+Y115)/Y81,0)</f>
        <v>0</v>
      </c>
      <c r="Z120" s="11" t="n">
        <f aca="false">IF(Z81&gt;0,(Z114+Z115)/Z81,0)</f>
        <v>0</v>
      </c>
      <c r="AA120" s="11" t="n">
        <f aca="false">IF(AA81&gt;0,(AA114+AA115)/AA81,0)</f>
        <v>0</v>
      </c>
      <c r="AB120" s="11" t="n">
        <f aca="false">IF(AB81&gt;0,(AB114+AB115)/AB81,0)</f>
        <v>0</v>
      </c>
      <c r="AC120" s="11" t="n">
        <f aca="false">IF(AC81&gt;0,(AC114+AC115)/AC81,0)</f>
        <v>0</v>
      </c>
      <c r="AD120" s="11" t="n">
        <f aca="false">IF(AD81&gt;0,(AD114+AD115)/AD81,0)</f>
        <v>0</v>
      </c>
      <c r="AE120" s="11" t="n">
        <f aca="false">IF(AE81&gt;0,(AE114+AE115)/AE81,0)</f>
        <v>0</v>
      </c>
      <c r="AF120" s="11" t="n">
        <f aca="false">IF(AF81&gt;0,(AF114+AF115)/AF81,0)</f>
        <v>0</v>
      </c>
      <c r="AG120" s="11" t="n">
        <f aca="false">IF(AG81&gt;0,(AG114+AG115)/AG81,0)</f>
        <v>0</v>
      </c>
      <c r="AH120" s="11" t="n">
        <f aca="false">IF(AH81&gt;0,(AH114+AH115)/AH81,0)</f>
        <v>0</v>
      </c>
      <c r="AI120" s="11" t="n">
        <f aca="false">IF(AI81&gt;0,(AI114+AI115)/AI81,0)</f>
        <v>0</v>
      </c>
      <c r="AJ120" s="11" t="n">
        <f aca="false">IF(AJ81&gt;0,(AJ114+AJ115)/AJ81,0)</f>
        <v>0</v>
      </c>
      <c r="AK120" s="11" t="n">
        <f aca="false">IF(AK81&gt;0,(AK114+AK115)/AK81,0)</f>
        <v>0</v>
      </c>
      <c r="AL120" s="11" t="n">
        <f aca="false">IF(AL81&gt;0,(AL114+AL115)/AL81,0)</f>
        <v>0</v>
      </c>
      <c r="AM120" s="11" t="n">
        <f aca="false">IF(AM81&gt;0,(AM114+AM115)/AM81,0)</f>
        <v>0</v>
      </c>
      <c r="AN120" s="11" t="n">
        <f aca="false">IF(AN81&gt;0,(AN114+AN115)/AN81,0)</f>
        <v>0</v>
      </c>
      <c r="AO120" s="11" t="n">
        <f aca="false">IF(AO81&gt;0,(AO114+AO115)/AO81,0)</f>
        <v>0</v>
      </c>
      <c r="AP120" s="11" t="n">
        <f aca="false">IF(AP81&gt;0,(AP114+AP115)/AP81,0)</f>
        <v>0</v>
      </c>
      <c r="AQ120" s="11" t="n">
        <f aca="false">IF(AQ81&gt;0,(AQ114+AQ115)/AQ81,0)</f>
        <v>0</v>
      </c>
      <c r="AR120" s="11" t="n">
        <f aca="false">IF(AR81&gt;0,(AR114+AR115)/AR81,0)</f>
        <v>0</v>
      </c>
      <c r="AS120" s="11" t="n">
        <f aca="false">IF(AS81&gt;0,(AS114+AS115)/AS81,0)</f>
        <v>0</v>
      </c>
      <c r="AT120" s="11" t="n">
        <f aca="false">IF(AT81&gt;0,(AT114+AT115)/AT81,0)</f>
        <v>0</v>
      </c>
      <c r="AU120" s="11" t="n">
        <f aca="false">IF(AU81&gt;0,(AU114+AU115)/AU81,0)</f>
        <v>0</v>
      </c>
      <c r="AV120" s="11" t="n">
        <f aca="false">IF(AV81&gt;0,(AV114+AV115)/AV81,0)</f>
        <v>0</v>
      </c>
      <c r="AW120" s="11" t="n">
        <f aca="false">IF(AW81&gt;0,(AW114+AW115)/AW81,0)</f>
        <v>0</v>
      </c>
      <c r="AX120" s="11" t="n">
        <f aca="false">IF(AX81&gt;0,(AX114+AX115)/AX81,0)</f>
        <v>0</v>
      </c>
      <c r="AY120" s="11" t="n">
        <f aca="false">IF(AY81&gt;0,(AY114+AY115)/AY81,0)</f>
        <v>0</v>
      </c>
      <c r="AZ120" s="11" t="n">
        <f aca="false">IF(AZ81&gt;0,(AZ114+AZ115)/AZ81,0)</f>
        <v>0</v>
      </c>
      <c r="BA120" s="11" t="n">
        <f aca="false">IF(BA81&gt;0,(BA114+BA115)/BA81,0)</f>
        <v>0</v>
      </c>
      <c r="BB120" s="11" t="n">
        <f aca="false">IF(BB81&gt;0,(BB114+BB115)/BB81,0)</f>
        <v>0</v>
      </c>
      <c r="BC120" s="11" t="n">
        <f aca="false">IF(BC81&gt;0,(BC114+BC115)/BC81,0)</f>
        <v>0</v>
      </c>
      <c r="BD120" s="11" t="n">
        <f aca="false">IF(BD81&gt;0,(BD114+BD115)/BD81,0)</f>
        <v>0</v>
      </c>
      <c r="BE120" s="11" t="n">
        <f aca="false">IF(BE81&gt;0,(BE114+BE115)/BE81,0)</f>
        <v>0</v>
      </c>
      <c r="BF120" s="11" t="n">
        <f aca="false">IF(BF81&gt;0,(BF114+BF115)/BF81,0)</f>
        <v>0</v>
      </c>
      <c r="BG120" s="11" t="n">
        <f aca="false">IF(BG81&gt;0,(BG114+BG115)/BG81,0)</f>
        <v>0</v>
      </c>
      <c r="BH120" s="11" t="n">
        <f aca="false">IF(BH81&gt;0,(BH114+BH115)/BH81,0)</f>
        <v>0</v>
      </c>
      <c r="BI120" s="11" t="n">
        <f aca="false">IF(BI81&gt;0,(BI114+BI115)/BI81,0)</f>
        <v>0</v>
      </c>
      <c r="BJ120" s="11" t="n">
        <f aca="false">IF(BJ81&gt;0,(BJ114+BJ115)/BJ81,0)</f>
        <v>0</v>
      </c>
      <c r="BK120" s="11" t="n">
        <f aca="false">IF(BK81&gt;0,(BK114+BK115)/BK81,0)</f>
        <v>0</v>
      </c>
    </row>
    <row r="121" customFormat="false" ht="15" hidden="false" customHeight="false" outlineLevel="0" collapsed="false">
      <c r="A121" s="0" t="s">
        <v>226</v>
      </c>
      <c r="D121" s="11" t="n">
        <f aca="false">IF(D88&gt;0,D91/D88,0)</f>
        <v>32.59</v>
      </c>
      <c r="E121" s="11" t="n">
        <f aca="false">IF(E88&gt;0,E91/E88,0)</f>
        <v>32.8057921652859</v>
      </c>
      <c r="F121" s="11" t="n">
        <f aca="false">IF(F88&gt;0,F91/F88,0)</f>
        <v>33.0117382835327</v>
      </c>
      <c r="G121" s="11" t="n">
        <f aca="false">IF(G88&gt;0,G91/G88,0)</f>
        <v>33.2076095178776</v>
      </c>
      <c r="H121" s="11" t="n">
        <f aca="false">IF(H88&gt;0,H91/H88,0)</f>
        <v>33.3932660883159</v>
      </c>
      <c r="I121" s="11" t="n">
        <f aca="false">IF(I88&gt;0,I91/I88,0)</f>
        <v>33.5686543449221</v>
      </c>
      <c r="J121" s="11" t="n">
        <f aca="false">IF(J88&gt;0,J91/J88,0)</f>
        <v>33.7338022785008</v>
      </c>
      <c r="K121" s="11" t="n">
        <f aca="false">IF(K88&gt;0,K91/K88,0)</f>
        <v>33.8888137090149</v>
      </c>
      <c r="L121" s="11" t="n">
        <f aca="false">IF(L88&gt;0,L91/L88,0)</f>
        <v>34.0338614209028</v>
      </c>
      <c r="M121" s="11" t="n">
        <f aca="false">IF(M88&gt;0,M91/M88,0)</f>
        <v>34.169179527635</v>
      </c>
      <c r="N121" s="11" t="n">
        <f aca="false">IF(N88&gt;0,N91/N88,0)</f>
        <v>34.295055346561</v>
      </c>
      <c r="O121" s="11" t="n">
        <f aca="false">IF(O88&gt;0,O91/O88,0)</f>
        <v>34.4118210511417</v>
      </c>
      <c r="P121" s="11" t="n">
        <f aca="false">IF(P88&gt;0,P91/P88,0)</f>
        <v>34.5198453435223</v>
      </c>
      <c r="Q121" s="11" t="n">
        <f aca="false">IF(Q88&gt;0,Q91/Q88,0)</f>
        <v>34.6195253588641</v>
      </c>
      <c r="R121" s="11" t="n">
        <f aca="false">IF(R88&gt;0,R91/R88,0)</f>
        <v>34.7112789767499</v>
      </c>
      <c r="S121" s="11" t="n">
        <f aca="false">IF(S88&gt;0,S91/S88,0)</f>
        <v>34.7955376769352</v>
      </c>
      <c r="T121" s="11" t="n">
        <f aca="false">IF(T88&gt;0,T91/T88,0)</f>
        <v>34.8727400390315</v>
      </c>
      <c r="U121" s="11" t="n">
        <f aca="false">IF(U88&gt;0,U91/U88,0)</f>
        <v>34.9433259502089</v>
      </c>
      <c r="V121" s="11" t="n">
        <f aca="false">IF(V88&gt;0,V91/V88,0)</f>
        <v>35.0077315530457</v>
      </c>
      <c r="W121" s="11" t="n">
        <f aca="false">IF(W88&gt;0,W91/W88,0)</f>
        <v>35.0663849380937</v>
      </c>
      <c r="X121" s="11" t="n">
        <f aca="false">IF(X88&gt;0,X91/X88,0)</f>
        <v>35.1197025630096</v>
      </c>
      <c r="Y121" s="11" t="n">
        <f aca="false">IF(Y88&gt;0,Y91/Y88,0)</f>
        <v>35.1680863622892</v>
      </c>
      <c r="Z121" s="11" t="n">
        <f aca="false">IF(Z88&gt;0,Z91/Z88,0)</f>
        <v>35.2119214985235</v>
      </c>
      <c r="AA121" s="11" t="n">
        <f aca="false">IF(AA88&gt;0,AA91/AA88,0)</f>
        <v>35.2515746972577</v>
      </c>
      <c r="AB121" s="11" t="n">
        <f aca="false">IF(AB88&gt;0,AB91/AB88,0)</f>
        <v>35.2873931024323</v>
      </c>
      <c r="AC121" s="11" t="n">
        <f aca="false">IF(AC88&gt;0,AC91/AC88,0)</f>
        <v>35.3197035874205</v>
      </c>
      <c r="AD121" s="11" t="n">
        <f aca="false">IF(AD88&gt;0,AD91/AD88,0)</f>
        <v>35.3488124572274</v>
      </c>
      <c r="AE121" s="11" t="n">
        <f aca="false">IF(AE88&gt;0,AE91/AE88,0)</f>
        <v>35.3750054799029</v>
      </c>
      <c r="AF121" s="11" t="n">
        <f aca="false">IF(AF88&gt;0,AF91/AF88,0)</f>
        <v>35.3985481891048</v>
      </c>
      <c r="AG121" s="11" t="n">
        <f aca="false">IF(AG88&gt;0,AG91/AG88,0)</f>
        <v>35.4196864045604</v>
      </c>
      <c r="AH121" s="11" t="n">
        <f aca="false">IF(AH88&gt;0,AH91/AH88,0)</f>
        <v>35.4386469225343</v>
      </c>
      <c r="AI121" s="11" t="n">
        <f aca="false">IF(AI88&gt;0,AI91/AI88,0)</f>
        <v>35.4556383339871</v>
      </c>
      <c r="AJ121" s="11" t="n">
        <f aca="false">IF(AJ88&gt;0,AJ91/AJ88,0)</f>
        <v>35.47085193367</v>
      </c>
      <c r="AK121" s="11" t="n">
        <f aca="false">IF(AK88&gt;0,AK91/AK88,0)</f>
        <v>35.4844626887496</v>
      </c>
      <c r="AL121" s="11" t="n">
        <f aca="false">IF(AL88&gt;0,AL91/AL88,0)</f>
        <v>35.4966302405835</v>
      </c>
      <c r="AM121" s="11" t="n">
        <f aca="false">IF(AM88&gt;0,AM91/AM88,0)</f>
        <v>35.5074999178673</v>
      </c>
      <c r="AN121" s="11" t="n">
        <f aca="false">IF(AN88&gt;0,AN91/AN88,0)</f>
        <v>35.5172037435274</v>
      </c>
      <c r="AO121" s="11" t="n">
        <f aca="false">IF(AO88&gt;0,AO91/AO88,0)</f>
        <v>35.5258614213981</v>
      </c>
      <c r="AP121" s="11" t="n">
        <f aca="false">IF(AP88&gt;0,AP91/AP88,0)</f>
        <v>35.5335812919249</v>
      </c>
      <c r="AQ121" s="11" t="n">
        <f aca="false">IF(AQ88&gt;0,AQ91/AQ88,0)</f>
        <v>35.540461248881</v>
      </c>
      <c r="AR121" s="11" t="n">
        <f aca="false">IF(AR88&gt;0,AR91/AR88,0)</f>
        <v>35.5465896114104</v>
      </c>
      <c r="AS121" s="11" t="n">
        <f aca="false">IF(AS88&gt;0,AS91/AS88,0)</f>
        <v>35.552045947653</v>
      </c>
      <c r="AT121" s="11" t="n">
        <f aca="false">IF(AT88&gt;0,AT91/AT88,0)</f>
        <v>35.5569018478028</v>
      </c>
      <c r="AU121" s="11" t="n">
        <f aca="false">IF(AU88&gt;0,AU91/AU88,0)</f>
        <v>35.5612216457425</v>
      </c>
      <c r="AV121" s="11" t="n">
        <f aca="false">IF(AV88&gt;0,AV91/AV88,0)</f>
        <v>35.5650630894239</v>
      </c>
      <c r="AW121" s="11" t="n">
        <f aca="false">IF(AW88&gt;0,AW91/AW88,0)</f>
        <v>35.5684779609612</v>
      </c>
      <c r="AX121" s="11" t="n">
        <f aca="false">IF(AX88&gt;0,AX91/AX88,0)</f>
        <v>35.5715126480106</v>
      </c>
      <c r="AY121" s="11" t="n">
        <f aca="false">IF(AY88&gt;0,AY91/AY88,0)</f>
        <v>35.5742086684505</v>
      </c>
      <c r="AZ121" s="11" t="n">
        <f aca="false">IF(AZ88&gt;0,AZ91/AZ88,0)</f>
        <v>35.576603150686</v>
      </c>
      <c r="BA121" s="11" t="n">
        <f aca="false">IF(BA88&gt;0,BA91/BA88,0)</f>
        <v>35.5787292720989</v>
      </c>
      <c r="BB121" s="11" t="n">
        <f aca="false">IF(BB88&gt;0,BB91/BB88,0)</f>
        <v>35.5806166582745</v>
      </c>
      <c r="BC121" s="11" t="n">
        <f aca="false">IF(BC88&gt;0,BC91/BC88,0)</f>
        <v>35.5822917456758</v>
      </c>
      <c r="BD121" s="11" t="n">
        <f aca="false">IF(BD88&gt;0,BD91/BD88,0)</f>
        <v>35.5837781104198</v>
      </c>
      <c r="BE121" s="11" t="n">
        <f aca="false">IF(BE88&gt;0,BE91/BE88,0)</f>
        <v>35.5850967657526</v>
      </c>
      <c r="BF121" s="11" t="n">
        <f aca="false">IF(BF88&gt;0,BF91/BF88,0)</f>
        <v>35.5862664307329</v>
      </c>
      <c r="BG121" s="11" t="n">
        <f aca="false">IF(BG88&gt;0,BG91/BG88,0)</f>
        <v>35.5873037725208</v>
      </c>
      <c r="BH121" s="11" t="n">
        <f aca="false">IF(BH88&gt;0,BH91/BH88,0)</f>
        <v>35.5882236245443</v>
      </c>
      <c r="BI121" s="11" t="n">
        <f aca="false">IF(BI88&gt;0,BI91/BI88,0)</f>
        <v>35.5890391826795</v>
      </c>
      <c r="BJ121" s="11" t="n">
        <f aca="false">IF(BJ88&gt;0,BJ91/BJ88,0)</f>
        <v>35.5897621814426</v>
      </c>
      <c r="BK121" s="11" t="n">
        <f aca="false">IF(BK88&gt;0,BK91/BK88,0)</f>
        <v>35.5904030520485</v>
      </c>
    </row>
    <row r="122" customFormat="false" ht="15" hidden="false" customHeight="false" outlineLevel="0" collapsed="false">
      <c r="A122" s="0" t="s">
        <v>227</v>
      </c>
      <c r="D122" s="50" t="n">
        <f aca="false">IF(D91&gt;=1000,1,0)</f>
        <v>0</v>
      </c>
      <c r="E122" s="50" t="n">
        <f aca="false">IF(E91&gt;=1000,1,0)</f>
        <v>0</v>
      </c>
      <c r="F122" s="50" t="n">
        <f aca="false">IF(F91&gt;=1000,1,0)</f>
        <v>0</v>
      </c>
      <c r="G122" s="50" t="n">
        <f aca="false">IF(G91&gt;=1000,1,0)</f>
        <v>0</v>
      </c>
      <c r="H122" s="50" t="n">
        <f aca="false">IF(H91&gt;=1000,1,0)</f>
        <v>0</v>
      </c>
      <c r="I122" s="50" t="n">
        <f aca="false">IF(I91&gt;=1000,1,0)</f>
        <v>0</v>
      </c>
      <c r="J122" s="50" t="n">
        <f aca="false">IF(J91&gt;=1000,1,0)</f>
        <v>0</v>
      </c>
      <c r="K122" s="50" t="n">
        <f aca="false">IF(K91&gt;=1000,1,0)</f>
        <v>0</v>
      </c>
      <c r="L122" s="50" t="n">
        <f aca="false">IF(L91&gt;=1000,1,0)</f>
        <v>0</v>
      </c>
      <c r="M122" s="50" t="n">
        <f aca="false">IF(M91&gt;=1000,1,0)</f>
        <v>0</v>
      </c>
      <c r="N122" s="50" t="n">
        <f aca="false">IF(N91&gt;=1000,1,0)</f>
        <v>0</v>
      </c>
      <c r="O122" s="50" t="n">
        <f aca="false">IF(O91&gt;=1000,1,0)</f>
        <v>0</v>
      </c>
      <c r="P122" s="50" t="n">
        <f aca="false">IF(P91&gt;=1000,1,0)</f>
        <v>0</v>
      </c>
      <c r="Q122" s="50" t="n">
        <f aca="false">IF(Q91&gt;=1000,1,0)</f>
        <v>0</v>
      </c>
      <c r="R122" s="50" t="n">
        <f aca="false">IF(R91&gt;=1000,1,0)</f>
        <v>0</v>
      </c>
      <c r="S122" s="50" t="n">
        <f aca="false">IF(S91&gt;=1000,1,0)</f>
        <v>0</v>
      </c>
      <c r="T122" s="50" t="n">
        <f aca="false">IF(T91&gt;=1000,1,0)</f>
        <v>0</v>
      </c>
      <c r="U122" s="50" t="n">
        <f aca="false">IF(U91&gt;=1000,1,0)</f>
        <v>0</v>
      </c>
      <c r="V122" s="50" t="n">
        <f aca="false">IF(V91&gt;=1000,1,0)</f>
        <v>0</v>
      </c>
      <c r="W122" s="50" t="n">
        <f aca="false">IF(W91&gt;=1000,1,0)</f>
        <v>0</v>
      </c>
      <c r="X122" s="50" t="n">
        <f aca="false">IF(X91&gt;=1000,1,0)</f>
        <v>0</v>
      </c>
      <c r="Y122" s="50" t="n">
        <f aca="false">IF(Y91&gt;=1000,1,0)</f>
        <v>0</v>
      </c>
      <c r="Z122" s="50" t="n">
        <f aca="false">IF(Z91&gt;=1000,1,0)</f>
        <v>0</v>
      </c>
      <c r="AA122" s="50" t="n">
        <f aca="false">IF(AA91&gt;=1000,1,0)</f>
        <v>0</v>
      </c>
      <c r="AB122" s="50" t="n">
        <f aca="false">IF(AB91&gt;=1000,1,0)</f>
        <v>0</v>
      </c>
      <c r="AC122" s="50" t="n">
        <f aca="false">IF(AC91&gt;=1000,1,0)</f>
        <v>0</v>
      </c>
      <c r="AD122" s="50" t="n">
        <f aca="false">IF(AD91&gt;=1000,1,0)</f>
        <v>0</v>
      </c>
      <c r="AE122" s="50" t="n">
        <f aca="false">IF(AE91&gt;=1000,1,0)</f>
        <v>0</v>
      </c>
      <c r="AF122" s="50" t="n">
        <f aca="false">IF(AF91&gt;=1000,1,0)</f>
        <v>0</v>
      </c>
      <c r="AG122" s="50" t="n">
        <f aca="false">IF(AG91&gt;=1000,1,0)</f>
        <v>0</v>
      </c>
      <c r="AH122" s="50" t="n">
        <f aca="false">IF(AH91&gt;=1000,1,0)</f>
        <v>0</v>
      </c>
      <c r="AI122" s="50" t="n">
        <f aca="false">IF(AI91&gt;=1000,1,0)</f>
        <v>0</v>
      </c>
      <c r="AJ122" s="50" t="n">
        <f aca="false">IF(AJ91&gt;=1000,1,0)</f>
        <v>0</v>
      </c>
      <c r="AK122" s="50" t="n">
        <f aca="false">IF(AK91&gt;=1000,1,0)</f>
        <v>0</v>
      </c>
      <c r="AL122" s="50" t="n">
        <f aca="false">IF(AL91&gt;=1000,1,0)</f>
        <v>0</v>
      </c>
      <c r="AM122" s="50" t="n">
        <f aca="false">IF(AM91&gt;=1000,1,0)</f>
        <v>0</v>
      </c>
      <c r="AN122" s="50" t="n">
        <f aca="false">IF(AN91&gt;=1000,1,0)</f>
        <v>0</v>
      </c>
      <c r="AO122" s="50" t="n">
        <f aca="false">IF(AO91&gt;=1000,1,0)</f>
        <v>0</v>
      </c>
      <c r="AP122" s="50" t="n">
        <f aca="false">IF(AP91&gt;=1000,1,0)</f>
        <v>0</v>
      </c>
      <c r="AQ122" s="50" t="n">
        <f aca="false">IF(AQ91&gt;=1000,1,0)</f>
        <v>0</v>
      </c>
      <c r="AR122" s="50" t="n">
        <f aca="false">IF(AR91&gt;=1000,1,0)</f>
        <v>0</v>
      </c>
      <c r="AS122" s="50" t="n">
        <f aca="false">IF(AS91&gt;=1000,1,0)</f>
        <v>0</v>
      </c>
      <c r="AT122" s="50" t="n">
        <f aca="false">IF(AT91&gt;=1000,1,0)</f>
        <v>0</v>
      </c>
      <c r="AU122" s="50" t="n">
        <f aca="false">IF(AU91&gt;=1000,1,0)</f>
        <v>0</v>
      </c>
      <c r="AV122" s="50" t="n">
        <f aca="false">IF(AV91&gt;=1000,1,0)</f>
        <v>0</v>
      </c>
      <c r="AW122" s="50" t="n">
        <f aca="false">IF(AW91&gt;=1000,1,0)</f>
        <v>0</v>
      </c>
      <c r="AX122" s="50" t="n">
        <f aca="false">IF(AX91&gt;=1000,1,0)</f>
        <v>0</v>
      </c>
      <c r="AY122" s="50" t="n">
        <f aca="false">IF(AY91&gt;=1000,1,0)</f>
        <v>0</v>
      </c>
      <c r="AZ122" s="50" t="n">
        <f aca="false">IF(AZ91&gt;=1000,1,0)</f>
        <v>0</v>
      </c>
      <c r="BA122" s="50" t="n">
        <f aca="false">IF(BA91&gt;=1000,1,0)</f>
        <v>0</v>
      </c>
      <c r="BB122" s="50" t="n">
        <f aca="false">IF(BB91&gt;=1000,1,0)</f>
        <v>0</v>
      </c>
      <c r="BC122" s="50" t="n">
        <f aca="false">IF(BC91&gt;=1000,1,0)</f>
        <v>0</v>
      </c>
      <c r="BD122" s="50" t="n">
        <f aca="false">IF(BD91&gt;=1000,1,0)</f>
        <v>0</v>
      </c>
      <c r="BE122" s="50" t="n">
        <f aca="false">IF(BE91&gt;=1000,1,0)</f>
        <v>0</v>
      </c>
      <c r="BF122" s="50" t="n">
        <f aca="false">IF(BF91&gt;=1000,1,0)</f>
        <v>0</v>
      </c>
      <c r="BG122" s="50" t="n">
        <f aca="false">IF(BG91&gt;=1000,1,0)</f>
        <v>0</v>
      </c>
      <c r="BH122" s="50" t="n">
        <f aca="false">IF(BH91&gt;=1000,1,0)</f>
        <v>0</v>
      </c>
      <c r="BI122" s="50" t="n">
        <f aca="false">IF(BI91&gt;=1000,1,0)</f>
        <v>0</v>
      </c>
      <c r="BJ122" s="50" t="n">
        <f aca="false">IF(BJ91&gt;=1000,1,0)</f>
        <v>0</v>
      </c>
      <c r="BK122" s="50" t="n">
        <f aca="false">IF(BK91&gt;=1000,1,0)</f>
        <v>0</v>
      </c>
    </row>
    <row r="123" customFormat="false" ht="15" hidden="false" customHeight="false" outlineLevel="0" collapsed="false">
      <c r="A123" s="0" t="s">
        <v>228</v>
      </c>
      <c r="D123" s="50" t="n">
        <f aca="false">IF(D91&gt;=10000,1,0)</f>
        <v>0</v>
      </c>
      <c r="E123" s="50" t="n">
        <f aca="false">IF(E91&gt;=10000,1,0)</f>
        <v>0</v>
      </c>
      <c r="F123" s="50" t="n">
        <f aca="false">IF(F91&gt;=10000,1,0)</f>
        <v>0</v>
      </c>
      <c r="G123" s="50" t="n">
        <f aca="false">IF(G91&gt;=10000,1,0)</f>
        <v>0</v>
      </c>
      <c r="H123" s="50" t="n">
        <f aca="false">IF(H91&gt;=10000,1,0)</f>
        <v>0</v>
      </c>
      <c r="I123" s="50" t="n">
        <f aca="false">IF(I91&gt;=10000,1,0)</f>
        <v>0</v>
      </c>
      <c r="J123" s="50" t="n">
        <f aca="false">IF(J91&gt;=10000,1,0)</f>
        <v>0</v>
      </c>
      <c r="K123" s="50" t="n">
        <f aca="false">IF(K91&gt;=10000,1,0)</f>
        <v>0</v>
      </c>
      <c r="L123" s="50" t="n">
        <f aca="false">IF(L91&gt;=10000,1,0)</f>
        <v>0</v>
      </c>
      <c r="M123" s="50" t="n">
        <f aca="false">IF(M91&gt;=10000,1,0)</f>
        <v>0</v>
      </c>
      <c r="N123" s="50" t="n">
        <f aca="false">IF(N91&gt;=10000,1,0)</f>
        <v>0</v>
      </c>
      <c r="O123" s="50" t="n">
        <f aca="false">IF(O91&gt;=10000,1,0)</f>
        <v>0</v>
      </c>
      <c r="P123" s="50" t="n">
        <f aca="false">IF(P91&gt;=10000,1,0)</f>
        <v>0</v>
      </c>
      <c r="Q123" s="50" t="n">
        <f aca="false">IF(Q91&gt;=10000,1,0)</f>
        <v>0</v>
      </c>
      <c r="R123" s="50" t="n">
        <f aca="false">IF(R91&gt;=10000,1,0)</f>
        <v>0</v>
      </c>
      <c r="S123" s="50" t="n">
        <f aca="false">IF(S91&gt;=10000,1,0)</f>
        <v>0</v>
      </c>
      <c r="T123" s="50" t="n">
        <f aca="false">IF(T91&gt;=10000,1,0)</f>
        <v>0</v>
      </c>
      <c r="U123" s="50" t="n">
        <f aca="false">IF(U91&gt;=10000,1,0)</f>
        <v>0</v>
      </c>
      <c r="V123" s="50" t="n">
        <f aca="false">IF(V91&gt;=10000,1,0)</f>
        <v>0</v>
      </c>
      <c r="W123" s="50" t="n">
        <f aca="false">IF(W91&gt;=10000,1,0)</f>
        <v>0</v>
      </c>
      <c r="X123" s="50" t="n">
        <f aca="false">IF(X91&gt;=10000,1,0)</f>
        <v>0</v>
      </c>
      <c r="Y123" s="50" t="n">
        <f aca="false">IF(Y91&gt;=10000,1,0)</f>
        <v>0</v>
      </c>
      <c r="Z123" s="50" t="n">
        <f aca="false">IF(Z91&gt;=10000,1,0)</f>
        <v>0</v>
      </c>
      <c r="AA123" s="50" t="n">
        <f aca="false">IF(AA91&gt;=10000,1,0)</f>
        <v>0</v>
      </c>
      <c r="AB123" s="50" t="n">
        <f aca="false">IF(AB91&gt;=10000,1,0)</f>
        <v>0</v>
      </c>
      <c r="AC123" s="50" t="n">
        <f aca="false">IF(AC91&gt;=10000,1,0)</f>
        <v>0</v>
      </c>
      <c r="AD123" s="50" t="n">
        <f aca="false">IF(AD91&gt;=10000,1,0)</f>
        <v>0</v>
      </c>
      <c r="AE123" s="50" t="n">
        <f aca="false">IF(AE91&gt;=10000,1,0)</f>
        <v>0</v>
      </c>
      <c r="AF123" s="50" t="n">
        <f aca="false">IF(AF91&gt;=10000,1,0)</f>
        <v>0</v>
      </c>
      <c r="AG123" s="50" t="n">
        <f aca="false">IF(AG91&gt;=10000,1,0)</f>
        <v>0</v>
      </c>
      <c r="AH123" s="50" t="n">
        <f aca="false">IF(AH91&gt;=10000,1,0)</f>
        <v>0</v>
      </c>
      <c r="AI123" s="50" t="n">
        <f aca="false">IF(AI91&gt;=10000,1,0)</f>
        <v>0</v>
      </c>
      <c r="AJ123" s="50" t="n">
        <f aca="false">IF(AJ91&gt;=10000,1,0)</f>
        <v>0</v>
      </c>
      <c r="AK123" s="50" t="n">
        <f aca="false">IF(AK91&gt;=10000,1,0)</f>
        <v>0</v>
      </c>
      <c r="AL123" s="50" t="n">
        <f aca="false">IF(AL91&gt;=10000,1,0)</f>
        <v>0</v>
      </c>
      <c r="AM123" s="50" t="n">
        <f aca="false">IF(AM91&gt;=10000,1,0)</f>
        <v>0</v>
      </c>
      <c r="AN123" s="50" t="n">
        <f aca="false">IF(AN91&gt;=10000,1,0)</f>
        <v>0</v>
      </c>
      <c r="AO123" s="50" t="n">
        <f aca="false">IF(AO91&gt;=10000,1,0)</f>
        <v>0</v>
      </c>
      <c r="AP123" s="50" t="n">
        <f aca="false">IF(AP91&gt;=10000,1,0)</f>
        <v>0</v>
      </c>
      <c r="AQ123" s="50" t="n">
        <f aca="false">IF(AQ91&gt;=10000,1,0)</f>
        <v>0</v>
      </c>
      <c r="AR123" s="50" t="n">
        <f aca="false">IF(AR91&gt;=10000,1,0)</f>
        <v>0</v>
      </c>
      <c r="AS123" s="50" t="n">
        <f aca="false">IF(AS91&gt;=10000,1,0)</f>
        <v>0</v>
      </c>
      <c r="AT123" s="50" t="n">
        <f aca="false">IF(AT91&gt;=10000,1,0)</f>
        <v>0</v>
      </c>
      <c r="AU123" s="50" t="n">
        <f aca="false">IF(AU91&gt;=10000,1,0)</f>
        <v>0</v>
      </c>
      <c r="AV123" s="50" t="n">
        <f aca="false">IF(AV91&gt;=10000,1,0)</f>
        <v>0</v>
      </c>
      <c r="AW123" s="50" t="n">
        <f aca="false">IF(AW91&gt;=10000,1,0)</f>
        <v>0</v>
      </c>
      <c r="AX123" s="50" t="n">
        <f aca="false">IF(AX91&gt;=10000,1,0)</f>
        <v>0</v>
      </c>
      <c r="AY123" s="50" t="n">
        <f aca="false">IF(AY91&gt;=10000,1,0)</f>
        <v>0</v>
      </c>
      <c r="AZ123" s="50" t="n">
        <f aca="false">IF(AZ91&gt;=10000,1,0)</f>
        <v>0</v>
      </c>
      <c r="BA123" s="50" t="n">
        <f aca="false">IF(BA91&gt;=10000,1,0)</f>
        <v>0</v>
      </c>
      <c r="BB123" s="50" t="n">
        <f aca="false">IF(BB91&gt;=10000,1,0)</f>
        <v>0</v>
      </c>
      <c r="BC123" s="50" t="n">
        <f aca="false">IF(BC91&gt;=10000,1,0)</f>
        <v>0</v>
      </c>
      <c r="BD123" s="50" t="n">
        <f aca="false">IF(BD91&gt;=10000,1,0)</f>
        <v>0</v>
      </c>
      <c r="BE123" s="50" t="n">
        <f aca="false">IF(BE91&gt;=10000,1,0)</f>
        <v>0</v>
      </c>
      <c r="BF123" s="50" t="n">
        <f aca="false">IF(BF91&gt;=10000,1,0)</f>
        <v>0</v>
      </c>
      <c r="BG123" s="50" t="n">
        <f aca="false">IF(BG91&gt;=10000,1,0)</f>
        <v>0</v>
      </c>
      <c r="BH123" s="50" t="n">
        <f aca="false">IF(BH91&gt;=10000,1,0)</f>
        <v>0</v>
      </c>
      <c r="BI123" s="50" t="n">
        <f aca="false">IF(BI91&gt;=10000,1,0)</f>
        <v>0</v>
      </c>
      <c r="BJ123" s="50" t="n">
        <f aca="false">IF(BJ91&gt;=10000,1,0)</f>
        <v>0</v>
      </c>
      <c r="BK123" s="50" t="n">
        <f aca="false">IF(BK91&gt;=10000,1,0)</f>
        <v>0</v>
      </c>
    </row>
    <row r="124" customFormat="false" ht="15" hidden="false" customHeight="false" outlineLevel="0" collapsed="false">
      <c r="A124" s="0" t="s">
        <v>229</v>
      </c>
      <c r="D124" s="50" t="n">
        <f aca="false">IF(D91&gt;=100000,1,0)</f>
        <v>0</v>
      </c>
      <c r="E124" s="50" t="n">
        <f aca="false">IF(E91&gt;=100000,1,0)</f>
        <v>0</v>
      </c>
      <c r="F124" s="50" t="n">
        <f aca="false">IF(F91&gt;=100000,1,0)</f>
        <v>0</v>
      </c>
      <c r="G124" s="50" t="n">
        <f aca="false">IF(G91&gt;=100000,1,0)</f>
        <v>0</v>
      </c>
      <c r="H124" s="50" t="n">
        <f aca="false">IF(H91&gt;=100000,1,0)</f>
        <v>0</v>
      </c>
      <c r="I124" s="50" t="n">
        <f aca="false">IF(I91&gt;=100000,1,0)</f>
        <v>0</v>
      </c>
      <c r="J124" s="50" t="n">
        <f aca="false">IF(J91&gt;=100000,1,0)</f>
        <v>0</v>
      </c>
      <c r="K124" s="50" t="n">
        <f aca="false">IF(K91&gt;=100000,1,0)</f>
        <v>0</v>
      </c>
      <c r="L124" s="50" t="n">
        <f aca="false">IF(L91&gt;=100000,1,0)</f>
        <v>0</v>
      </c>
      <c r="M124" s="50" t="n">
        <f aca="false">IF(M91&gt;=100000,1,0)</f>
        <v>0</v>
      </c>
      <c r="N124" s="50" t="n">
        <f aca="false">IF(N91&gt;=100000,1,0)</f>
        <v>0</v>
      </c>
      <c r="O124" s="50" t="n">
        <f aca="false">IF(O91&gt;=100000,1,0)</f>
        <v>0</v>
      </c>
      <c r="P124" s="50" t="n">
        <f aca="false">IF(P91&gt;=100000,1,0)</f>
        <v>0</v>
      </c>
      <c r="Q124" s="50" t="n">
        <f aca="false">IF(Q91&gt;=100000,1,0)</f>
        <v>0</v>
      </c>
      <c r="R124" s="50" t="n">
        <f aca="false">IF(R91&gt;=100000,1,0)</f>
        <v>0</v>
      </c>
      <c r="S124" s="50" t="n">
        <f aca="false">IF(S91&gt;=100000,1,0)</f>
        <v>0</v>
      </c>
      <c r="T124" s="50" t="n">
        <f aca="false">IF(T91&gt;=100000,1,0)</f>
        <v>0</v>
      </c>
      <c r="U124" s="50" t="n">
        <f aca="false">IF(U91&gt;=100000,1,0)</f>
        <v>0</v>
      </c>
      <c r="V124" s="50" t="n">
        <f aca="false">IF(V91&gt;=100000,1,0)</f>
        <v>0</v>
      </c>
      <c r="W124" s="50" t="n">
        <f aca="false">IF(W91&gt;=100000,1,0)</f>
        <v>0</v>
      </c>
      <c r="X124" s="50" t="n">
        <f aca="false">IF(X91&gt;=100000,1,0)</f>
        <v>0</v>
      </c>
      <c r="Y124" s="50" t="n">
        <f aca="false">IF(Y91&gt;=100000,1,0)</f>
        <v>0</v>
      </c>
      <c r="Z124" s="50" t="n">
        <f aca="false">IF(Z91&gt;=100000,1,0)</f>
        <v>0</v>
      </c>
      <c r="AA124" s="50" t="n">
        <f aca="false">IF(AA91&gt;=100000,1,0)</f>
        <v>0</v>
      </c>
      <c r="AB124" s="50" t="n">
        <f aca="false">IF(AB91&gt;=100000,1,0)</f>
        <v>0</v>
      </c>
      <c r="AC124" s="50" t="n">
        <f aca="false">IF(AC91&gt;=100000,1,0)</f>
        <v>0</v>
      </c>
      <c r="AD124" s="50" t="n">
        <f aca="false">IF(AD91&gt;=100000,1,0)</f>
        <v>0</v>
      </c>
      <c r="AE124" s="50" t="n">
        <f aca="false">IF(AE91&gt;=100000,1,0)</f>
        <v>0</v>
      </c>
      <c r="AF124" s="50" t="n">
        <f aca="false">IF(AF91&gt;=100000,1,0)</f>
        <v>0</v>
      </c>
      <c r="AG124" s="50" t="n">
        <f aca="false">IF(AG91&gt;=100000,1,0)</f>
        <v>0</v>
      </c>
      <c r="AH124" s="50" t="n">
        <f aca="false">IF(AH91&gt;=100000,1,0)</f>
        <v>0</v>
      </c>
      <c r="AI124" s="50" t="n">
        <f aca="false">IF(AI91&gt;=100000,1,0)</f>
        <v>0</v>
      </c>
      <c r="AJ124" s="50" t="n">
        <f aca="false">IF(AJ91&gt;=100000,1,0)</f>
        <v>0</v>
      </c>
      <c r="AK124" s="50" t="n">
        <f aca="false">IF(AK91&gt;=100000,1,0)</f>
        <v>0</v>
      </c>
      <c r="AL124" s="50" t="n">
        <f aca="false">IF(AL91&gt;=100000,1,0)</f>
        <v>0</v>
      </c>
      <c r="AM124" s="50" t="n">
        <f aca="false">IF(AM91&gt;=100000,1,0)</f>
        <v>0</v>
      </c>
      <c r="AN124" s="50" t="n">
        <f aca="false">IF(AN91&gt;=100000,1,0)</f>
        <v>0</v>
      </c>
      <c r="AO124" s="50" t="n">
        <f aca="false">IF(AO91&gt;=100000,1,0)</f>
        <v>0</v>
      </c>
      <c r="AP124" s="50" t="n">
        <f aca="false">IF(AP91&gt;=100000,1,0)</f>
        <v>0</v>
      </c>
      <c r="AQ124" s="50" t="n">
        <f aca="false">IF(AQ91&gt;=100000,1,0)</f>
        <v>0</v>
      </c>
      <c r="AR124" s="50" t="n">
        <f aca="false">IF(AR91&gt;=100000,1,0)</f>
        <v>0</v>
      </c>
      <c r="AS124" s="50" t="n">
        <f aca="false">IF(AS91&gt;=100000,1,0)</f>
        <v>0</v>
      </c>
      <c r="AT124" s="50" t="n">
        <f aca="false">IF(AT91&gt;=100000,1,0)</f>
        <v>0</v>
      </c>
      <c r="AU124" s="50" t="n">
        <f aca="false">IF(AU91&gt;=100000,1,0)</f>
        <v>0</v>
      </c>
      <c r="AV124" s="50" t="n">
        <f aca="false">IF(AV91&gt;=100000,1,0)</f>
        <v>0</v>
      </c>
      <c r="AW124" s="50" t="n">
        <f aca="false">IF(AW91&gt;=100000,1,0)</f>
        <v>0</v>
      </c>
      <c r="AX124" s="50" t="n">
        <f aca="false">IF(AX91&gt;=100000,1,0)</f>
        <v>0</v>
      </c>
      <c r="AY124" s="50" t="n">
        <f aca="false">IF(AY91&gt;=100000,1,0)</f>
        <v>0</v>
      </c>
      <c r="AZ124" s="50" t="n">
        <f aca="false">IF(AZ91&gt;=100000,1,0)</f>
        <v>0</v>
      </c>
      <c r="BA124" s="50" t="n">
        <f aca="false">IF(BA91&gt;=100000,1,0)</f>
        <v>0</v>
      </c>
      <c r="BB124" s="50" t="n">
        <f aca="false">IF(BB91&gt;=100000,1,0)</f>
        <v>0</v>
      </c>
      <c r="BC124" s="50" t="n">
        <f aca="false">IF(BC91&gt;=100000,1,0)</f>
        <v>0</v>
      </c>
      <c r="BD124" s="50" t="n">
        <f aca="false">IF(BD91&gt;=100000,1,0)</f>
        <v>0</v>
      </c>
      <c r="BE124" s="50" t="n">
        <f aca="false">IF(BE91&gt;=100000,1,0)</f>
        <v>0</v>
      </c>
      <c r="BF124" s="50" t="n">
        <f aca="false">IF(BF91&gt;=100000,1,0)</f>
        <v>0</v>
      </c>
      <c r="BG124" s="50" t="n">
        <f aca="false">IF(BG91&gt;=100000,1,0)</f>
        <v>0</v>
      </c>
      <c r="BH124" s="50" t="n">
        <f aca="false">IF(BH91&gt;=100000,1,0)</f>
        <v>0</v>
      </c>
      <c r="BI124" s="50" t="n">
        <f aca="false">IF(BI91&gt;=100000,1,0)</f>
        <v>0</v>
      </c>
      <c r="BJ124" s="50" t="n">
        <f aca="false">IF(BJ91&gt;=100000,1,0)</f>
        <v>0</v>
      </c>
      <c r="BK124" s="50" t="n">
        <f aca="false">IF(BK91&gt;=100000,1,0)</f>
        <v>0</v>
      </c>
    </row>
    <row r="125" customFormat="false" ht="15" hidden="false" customHeight="false" outlineLevel="0" collapsed="false">
      <c r="A125" s="0" t="s">
        <v>230</v>
      </c>
      <c r="D125" s="50" t="n">
        <f aca="false">IF(D92&gt;=1000000,1,0)</f>
        <v>0</v>
      </c>
      <c r="E125" s="50" t="n">
        <f aca="false">IF(E92&gt;=1000000,1,0)</f>
        <v>0</v>
      </c>
      <c r="F125" s="50" t="n">
        <f aca="false">IF(F92&gt;=1000000,1,0)</f>
        <v>0</v>
      </c>
      <c r="G125" s="50" t="n">
        <f aca="false">IF(G92&gt;=1000000,1,0)</f>
        <v>0</v>
      </c>
      <c r="H125" s="50" t="n">
        <f aca="false">IF(H92&gt;=1000000,1,0)</f>
        <v>0</v>
      </c>
      <c r="I125" s="50" t="n">
        <f aca="false">IF(I92&gt;=1000000,1,0)</f>
        <v>0</v>
      </c>
      <c r="J125" s="50" t="n">
        <f aca="false">IF(J92&gt;=1000000,1,0)</f>
        <v>0</v>
      </c>
      <c r="K125" s="50" t="n">
        <f aca="false">IF(K92&gt;=1000000,1,0)</f>
        <v>0</v>
      </c>
      <c r="L125" s="50" t="n">
        <f aca="false">IF(L92&gt;=1000000,1,0)</f>
        <v>0</v>
      </c>
      <c r="M125" s="50" t="n">
        <f aca="false">IF(M92&gt;=1000000,1,0)</f>
        <v>0</v>
      </c>
      <c r="N125" s="50" t="n">
        <f aca="false">IF(N92&gt;=1000000,1,0)</f>
        <v>0</v>
      </c>
      <c r="O125" s="50" t="n">
        <f aca="false">IF(O92&gt;=1000000,1,0)</f>
        <v>0</v>
      </c>
      <c r="P125" s="50" t="n">
        <f aca="false">IF(P92&gt;=1000000,1,0)</f>
        <v>0</v>
      </c>
      <c r="Q125" s="50" t="n">
        <f aca="false">IF(Q92&gt;=1000000,1,0)</f>
        <v>0</v>
      </c>
      <c r="R125" s="50" t="n">
        <f aca="false">IF(R92&gt;=1000000,1,0)</f>
        <v>0</v>
      </c>
      <c r="S125" s="50" t="n">
        <f aca="false">IF(S92&gt;=1000000,1,0)</f>
        <v>0</v>
      </c>
      <c r="T125" s="50" t="n">
        <f aca="false">IF(T92&gt;=1000000,1,0)</f>
        <v>0</v>
      </c>
      <c r="U125" s="50" t="n">
        <f aca="false">IF(U92&gt;=1000000,1,0)</f>
        <v>0</v>
      </c>
      <c r="V125" s="50" t="n">
        <f aca="false">IF(V92&gt;=1000000,1,0)</f>
        <v>0</v>
      </c>
      <c r="W125" s="50" t="n">
        <f aca="false">IF(W92&gt;=1000000,1,0)</f>
        <v>0</v>
      </c>
      <c r="X125" s="50" t="n">
        <f aca="false">IF(X92&gt;=1000000,1,0)</f>
        <v>0</v>
      </c>
      <c r="Y125" s="50" t="n">
        <f aca="false">IF(Y92&gt;=1000000,1,0)</f>
        <v>0</v>
      </c>
      <c r="Z125" s="50" t="n">
        <f aca="false">IF(Z92&gt;=1000000,1,0)</f>
        <v>0</v>
      </c>
      <c r="AA125" s="50" t="n">
        <f aca="false">IF(AA92&gt;=1000000,1,0)</f>
        <v>0</v>
      </c>
      <c r="AB125" s="50" t="n">
        <f aca="false">IF(AB92&gt;=1000000,1,0)</f>
        <v>0</v>
      </c>
      <c r="AC125" s="50" t="n">
        <f aca="false">IF(AC92&gt;=1000000,1,0)</f>
        <v>0</v>
      </c>
      <c r="AD125" s="50" t="n">
        <f aca="false">IF(AD92&gt;=1000000,1,0)</f>
        <v>0</v>
      </c>
      <c r="AE125" s="50" t="n">
        <f aca="false">IF(AE92&gt;=1000000,1,0)</f>
        <v>0</v>
      </c>
      <c r="AF125" s="50" t="n">
        <f aca="false">IF(AF92&gt;=1000000,1,0)</f>
        <v>0</v>
      </c>
      <c r="AG125" s="50" t="n">
        <f aca="false">IF(AG92&gt;=1000000,1,0)</f>
        <v>0</v>
      </c>
      <c r="AH125" s="50" t="n">
        <f aca="false">IF(AH92&gt;=1000000,1,0)</f>
        <v>0</v>
      </c>
      <c r="AI125" s="50" t="n">
        <f aca="false">IF(AI92&gt;=1000000,1,0)</f>
        <v>0</v>
      </c>
      <c r="AJ125" s="50" t="n">
        <f aca="false">IF(AJ92&gt;=1000000,1,0)</f>
        <v>0</v>
      </c>
      <c r="AK125" s="50" t="n">
        <f aca="false">IF(AK92&gt;=1000000,1,0)</f>
        <v>0</v>
      </c>
      <c r="AL125" s="50" t="n">
        <f aca="false">IF(AL92&gt;=1000000,1,0)</f>
        <v>0</v>
      </c>
      <c r="AM125" s="50" t="n">
        <f aca="false">IF(AM92&gt;=1000000,1,0)</f>
        <v>0</v>
      </c>
      <c r="AN125" s="50" t="n">
        <f aca="false">IF(AN92&gt;=1000000,1,0)</f>
        <v>0</v>
      </c>
      <c r="AO125" s="50" t="n">
        <f aca="false">IF(AO92&gt;=1000000,1,0)</f>
        <v>0</v>
      </c>
      <c r="AP125" s="50" t="n">
        <f aca="false">IF(AP92&gt;=1000000,1,0)</f>
        <v>0</v>
      </c>
      <c r="AQ125" s="50" t="n">
        <f aca="false">IF(AQ92&gt;=1000000,1,0)</f>
        <v>0</v>
      </c>
      <c r="AR125" s="50" t="n">
        <f aca="false">IF(AR92&gt;=1000000,1,0)</f>
        <v>0</v>
      </c>
      <c r="AS125" s="50" t="n">
        <f aca="false">IF(AS92&gt;=1000000,1,0)</f>
        <v>0</v>
      </c>
      <c r="AT125" s="50" t="n">
        <f aca="false">IF(AT92&gt;=1000000,1,0)</f>
        <v>0</v>
      </c>
      <c r="AU125" s="50" t="n">
        <f aca="false">IF(AU92&gt;=1000000,1,0)</f>
        <v>0</v>
      </c>
      <c r="AV125" s="50" t="n">
        <f aca="false">IF(AV92&gt;=1000000,1,0)</f>
        <v>0</v>
      </c>
      <c r="AW125" s="50" t="n">
        <f aca="false">IF(AW92&gt;=1000000,1,0)</f>
        <v>0</v>
      </c>
      <c r="AX125" s="50" t="n">
        <f aca="false">IF(AX92&gt;=1000000,1,0)</f>
        <v>0</v>
      </c>
      <c r="AY125" s="50" t="n">
        <f aca="false">IF(AY92&gt;=1000000,1,0)</f>
        <v>0</v>
      </c>
      <c r="AZ125" s="50" t="n">
        <f aca="false">IF(AZ92&gt;=1000000,1,0)</f>
        <v>0</v>
      </c>
      <c r="BA125" s="50" t="n">
        <f aca="false">IF(BA92&gt;=1000000,1,0)</f>
        <v>0</v>
      </c>
      <c r="BB125" s="50" t="n">
        <f aca="false">IF(BB92&gt;=1000000,1,0)</f>
        <v>0</v>
      </c>
      <c r="BC125" s="50" t="n">
        <f aca="false">IF(BC92&gt;=1000000,1,0)</f>
        <v>0</v>
      </c>
      <c r="BD125" s="50" t="n">
        <f aca="false">IF(BD92&gt;=1000000,1,0)</f>
        <v>0</v>
      </c>
      <c r="BE125" s="50" t="n">
        <f aca="false">IF(BE92&gt;=1000000,1,0)</f>
        <v>0</v>
      </c>
      <c r="BF125" s="50" t="n">
        <f aca="false">IF(BF92&gt;=1000000,1,0)</f>
        <v>0</v>
      </c>
      <c r="BG125" s="50" t="n">
        <f aca="false">IF(BG92&gt;=1000000,1,0)</f>
        <v>0</v>
      </c>
      <c r="BH125" s="50" t="n">
        <f aca="false">IF(BH92&gt;=1000000,1,0)</f>
        <v>0</v>
      </c>
      <c r="BI125" s="50" t="n">
        <f aca="false">IF(BI92&gt;=1000000,1,0)</f>
        <v>0</v>
      </c>
      <c r="BJ125" s="50" t="n">
        <f aca="false">IF(BJ92&gt;=1000000,1,0)</f>
        <v>0</v>
      </c>
      <c r="BK125" s="50" t="n">
        <f aca="false">IF(BK92&gt;=1000000,1,0)</f>
        <v>0</v>
      </c>
    </row>
    <row r="126" customFormat="false" ht="15" hidden="false" customHeight="false" outlineLevel="0" collapsed="false">
      <c r="A126" s="0" t="s">
        <v>231</v>
      </c>
      <c r="D126" s="50" t="n">
        <f aca="false">IF(D92&gt;=5000000,1,0)</f>
        <v>0</v>
      </c>
      <c r="E126" s="50" t="n">
        <f aca="false">IF(E92&gt;=5000000,1,0)</f>
        <v>0</v>
      </c>
      <c r="F126" s="50" t="n">
        <f aca="false">IF(F92&gt;=5000000,1,0)</f>
        <v>0</v>
      </c>
      <c r="G126" s="50" t="n">
        <f aca="false">IF(G92&gt;=5000000,1,0)</f>
        <v>0</v>
      </c>
      <c r="H126" s="50" t="n">
        <f aca="false">IF(H92&gt;=5000000,1,0)</f>
        <v>0</v>
      </c>
      <c r="I126" s="50" t="n">
        <f aca="false">IF(I92&gt;=5000000,1,0)</f>
        <v>0</v>
      </c>
      <c r="J126" s="50" t="n">
        <f aca="false">IF(J92&gt;=5000000,1,0)</f>
        <v>0</v>
      </c>
      <c r="K126" s="50" t="n">
        <f aca="false">IF(K92&gt;=5000000,1,0)</f>
        <v>0</v>
      </c>
      <c r="L126" s="50" t="n">
        <f aca="false">IF(L92&gt;=5000000,1,0)</f>
        <v>0</v>
      </c>
      <c r="M126" s="50" t="n">
        <f aca="false">IF(M92&gt;=5000000,1,0)</f>
        <v>0</v>
      </c>
      <c r="N126" s="50" t="n">
        <f aca="false">IF(N92&gt;=5000000,1,0)</f>
        <v>0</v>
      </c>
      <c r="O126" s="50" t="n">
        <f aca="false">IF(O92&gt;=5000000,1,0)</f>
        <v>0</v>
      </c>
      <c r="P126" s="50" t="n">
        <f aca="false">IF(P92&gt;=5000000,1,0)</f>
        <v>0</v>
      </c>
      <c r="Q126" s="50" t="n">
        <f aca="false">IF(Q92&gt;=5000000,1,0)</f>
        <v>0</v>
      </c>
      <c r="R126" s="50" t="n">
        <f aca="false">IF(R92&gt;=5000000,1,0)</f>
        <v>0</v>
      </c>
      <c r="S126" s="50" t="n">
        <f aca="false">IF(S92&gt;=5000000,1,0)</f>
        <v>0</v>
      </c>
      <c r="T126" s="50" t="n">
        <f aca="false">IF(T92&gt;=5000000,1,0)</f>
        <v>0</v>
      </c>
      <c r="U126" s="50" t="n">
        <f aca="false">IF(U92&gt;=5000000,1,0)</f>
        <v>0</v>
      </c>
      <c r="V126" s="50" t="n">
        <f aca="false">IF(V92&gt;=5000000,1,0)</f>
        <v>0</v>
      </c>
      <c r="W126" s="50" t="n">
        <f aca="false">IF(W92&gt;=5000000,1,0)</f>
        <v>0</v>
      </c>
      <c r="X126" s="50" t="n">
        <f aca="false">IF(X92&gt;=5000000,1,0)</f>
        <v>0</v>
      </c>
      <c r="Y126" s="50" t="n">
        <f aca="false">IF(Y92&gt;=5000000,1,0)</f>
        <v>0</v>
      </c>
      <c r="Z126" s="50" t="n">
        <f aca="false">IF(Z92&gt;=5000000,1,0)</f>
        <v>0</v>
      </c>
      <c r="AA126" s="50" t="n">
        <f aca="false">IF(AA92&gt;=5000000,1,0)</f>
        <v>0</v>
      </c>
      <c r="AB126" s="50" t="n">
        <f aca="false">IF(AB92&gt;=5000000,1,0)</f>
        <v>0</v>
      </c>
      <c r="AC126" s="50" t="n">
        <f aca="false">IF(AC92&gt;=5000000,1,0)</f>
        <v>0</v>
      </c>
      <c r="AD126" s="50" t="n">
        <f aca="false">IF(AD92&gt;=5000000,1,0)</f>
        <v>0</v>
      </c>
      <c r="AE126" s="50" t="n">
        <f aca="false">IF(AE92&gt;=5000000,1,0)</f>
        <v>0</v>
      </c>
      <c r="AF126" s="50" t="n">
        <f aca="false">IF(AF92&gt;=5000000,1,0)</f>
        <v>0</v>
      </c>
      <c r="AG126" s="50" t="n">
        <f aca="false">IF(AG92&gt;=5000000,1,0)</f>
        <v>0</v>
      </c>
      <c r="AH126" s="50" t="n">
        <f aca="false">IF(AH92&gt;=5000000,1,0)</f>
        <v>0</v>
      </c>
      <c r="AI126" s="50" t="n">
        <f aca="false">IF(AI92&gt;=5000000,1,0)</f>
        <v>0</v>
      </c>
      <c r="AJ126" s="50" t="n">
        <f aca="false">IF(AJ92&gt;=5000000,1,0)</f>
        <v>0</v>
      </c>
      <c r="AK126" s="50" t="n">
        <f aca="false">IF(AK92&gt;=5000000,1,0)</f>
        <v>0</v>
      </c>
      <c r="AL126" s="50" t="n">
        <f aca="false">IF(AL92&gt;=5000000,1,0)</f>
        <v>0</v>
      </c>
      <c r="AM126" s="50" t="n">
        <f aca="false">IF(AM92&gt;=5000000,1,0)</f>
        <v>0</v>
      </c>
      <c r="AN126" s="50" t="n">
        <f aca="false">IF(AN92&gt;=5000000,1,0)</f>
        <v>0</v>
      </c>
      <c r="AO126" s="50" t="n">
        <f aca="false">IF(AO92&gt;=5000000,1,0)</f>
        <v>0</v>
      </c>
      <c r="AP126" s="50" t="n">
        <f aca="false">IF(AP92&gt;=5000000,1,0)</f>
        <v>0</v>
      </c>
      <c r="AQ126" s="50" t="n">
        <f aca="false">IF(AQ92&gt;=5000000,1,0)</f>
        <v>0</v>
      </c>
      <c r="AR126" s="50" t="n">
        <f aca="false">IF(AR92&gt;=5000000,1,0)</f>
        <v>0</v>
      </c>
      <c r="AS126" s="50" t="n">
        <f aca="false">IF(AS92&gt;=5000000,1,0)</f>
        <v>0</v>
      </c>
      <c r="AT126" s="50" t="n">
        <f aca="false">IF(AT92&gt;=5000000,1,0)</f>
        <v>0</v>
      </c>
      <c r="AU126" s="50" t="n">
        <f aca="false">IF(AU92&gt;=5000000,1,0)</f>
        <v>0</v>
      </c>
      <c r="AV126" s="50" t="n">
        <f aca="false">IF(AV92&gt;=5000000,1,0)</f>
        <v>0</v>
      </c>
      <c r="AW126" s="50" t="n">
        <f aca="false">IF(AW92&gt;=5000000,1,0)</f>
        <v>0</v>
      </c>
      <c r="AX126" s="50" t="n">
        <f aca="false">IF(AX92&gt;=5000000,1,0)</f>
        <v>0</v>
      </c>
      <c r="AY126" s="50" t="n">
        <f aca="false">IF(AY92&gt;=5000000,1,0)</f>
        <v>0</v>
      </c>
      <c r="AZ126" s="50" t="n">
        <f aca="false">IF(AZ92&gt;=5000000,1,0)</f>
        <v>0</v>
      </c>
      <c r="BA126" s="50" t="n">
        <f aca="false">IF(BA92&gt;=5000000,1,0)</f>
        <v>0</v>
      </c>
      <c r="BB126" s="50" t="n">
        <f aca="false">IF(BB92&gt;=5000000,1,0)</f>
        <v>0</v>
      </c>
      <c r="BC126" s="50" t="n">
        <f aca="false">IF(BC92&gt;=5000000,1,0)</f>
        <v>0</v>
      </c>
      <c r="BD126" s="50" t="n">
        <f aca="false">IF(BD92&gt;=5000000,1,0)</f>
        <v>0</v>
      </c>
      <c r="BE126" s="50" t="n">
        <f aca="false">IF(BE92&gt;=5000000,1,0)</f>
        <v>0</v>
      </c>
      <c r="BF126" s="50" t="n">
        <f aca="false">IF(BF92&gt;=5000000,1,0)</f>
        <v>0</v>
      </c>
      <c r="BG126" s="50" t="n">
        <f aca="false">IF(BG92&gt;=5000000,1,0)</f>
        <v>0</v>
      </c>
      <c r="BH126" s="50" t="n">
        <f aca="false">IF(BH92&gt;=5000000,1,0)</f>
        <v>0</v>
      </c>
      <c r="BI126" s="50" t="n">
        <f aca="false">IF(BI92&gt;=5000000,1,0)</f>
        <v>0</v>
      </c>
      <c r="BJ126" s="50" t="n">
        <f aca="false">IF(BJ92&gt;=5000000,1,0)</f>
        <v>0</v>
      </c>
      <c r="BK126" s="50" t="n">
        <f aca="false">IF(BK92&gt;=5000000,1,0)</f>
        <v>0</v>
      </c>
    </row>
    <row r="130" customFormat="false" ht="16.15" hidden="false" customHeight="false" outlineLevel="0" collapsed="false">
      <c r="A130" s="49" t="s">
        <v>232</v>
      </c>
      <c r="B130" s="15"/>
      <c r="C130" s="15"/>
      <c r="D130" s="15"/>
      <c r="E130" s="15"/>
      <c r="F130" s="15"/>
      <c r="G130" s="15"/>
    </row>
    <row r="131" customFormat="false" ht="41.75" hidden="false" customHeight="false" outlineLevel="0" collapsed="false">
      <c r="A131" s="5" t="s">
        <v>174</v>
      </c>
      <c r="B131" s="5" t="s">
        <v>11</v>
      </c>
      <c r="C131" s="5" t="s">
        <v>12</v>
      </c>
      <c r="D131" s="5" t="s">
        <v>13</v>
      </c>
      <c r="E131" s="5" t="s">
        <v>175</v>
      </c>
      <c r="F131" s="5" t="s">
        <v>176</v>
      </c>
      <c r="G131" s="5" t="s">
        <v>177</v>
      </c>
    </row>
    <row r="132" customFormat="false" ht="15" hidden="false" customHeight="false" outlineLevel="0" collapsed="false">
      <c r="A132" s="0" t="s">
        <v>30</v>
      </c>
      <c r="B132" s="0" t="n">
        <f aca="false">IFERROR(MATCH(1,$D$187:$BK$187,0),"not in 60 mo")</f>
        <v>21</v>
      </c>
      <c r="C132" s="7" t="n">
        <f aca="false">IFERROR(INDEX($D$156:$BK$156,B132),"-")</f>
        <v>1105.58484592451</v>
      </c>
      <c r="D132" s="8" t="n">
        <f aca="false">IFERROR(INDEX($D$153:$BK$153,B132),"-")</f>
        <v>27.982263807319</v>
      </c>
      <c r="E132" s="8" t="n">
        <f aca="false">IFERROR(INDEX($D$143:$BK$143,B132),"-")</f>
        <v>10091.2499239884</v>
      </c>
      <c r="F132" s="8" t="n">
        <f aca="false">IFERROR(INDEX($D$146:$BK$146,B132),"-")</f>
        <v>4.54106246579479</v>
      </c>
      <c r="G132" s="9" t="n">
        <f aca="false">IFERROR(F132/E132,"-")</f>
        <v>0.00045</v>
      </c>
    </row>
    <row r="133" customFormat="false" ht="15" hidden="false" customHeight="false" outlineLevel="0" collapsed="false">
      <c r="A133" s="0" t="s">
        <v>31</v>
      </c>
      <c r="B133" s="0" t="n">
        <f aca="false">IFERROR(MATCH(1,$D$188:$BK$188,0),"not in 60 mo")</f>
        <v>44</v>
      </c>
      <c r="C133" s="7" t="n">
        <f aca="false">IFERROR(INDEX($D$156:$BK$156,B133),"-")</f>
        <v>10264.7431417162</v>
      </c>
      <c r="D133" s="8" t="n">
        <f aca="false">IFERROR(INDEX($D$153:$BK$153,B133),"-")</f>
        <v>257.977412101707</v>
      </c>
      <c r="E133" s="8" t="n">
        <f aca="false">IFERROR(INDEX($D$143:$BK$143,B133),"-")</f>
        <v>90360.1037418636</v>
      </c>
      <c r="F133" s="8" t="n">
        <f aca="false">IFERROR(INDEX($D$146:$BK$146,B133),"-")</f>
        <v>40.6620466838386</v>
      </c>
      <c r="G133" s="9" t="n">
        <f aca="false">IFERROR(F133/E133,"-")</f>
        <v>0.00045</v>
      </c>
    </row>
    <row r="134" customFormat="false" ht="15" hidden="false" customHeight="false" outlineLevel="0" collapsed="false">
      <c r="A134" s="0" t="s">
        <v>32</v>
      </c>
      <c r="B134" s="0" t="str">
        <f aca="false">IFERROR(MATCH(1,$D$189:$BK$189,0),"not in 60 mo")</f>
        <v>not in 60 mo</v>
      </c>
      <c r="C134" s="7" t="str">
        <f aca="false">IFERROR(INDEX($D$156:$BK$156,B134),"-")</f>
        <v>-</v>
      </c>
      <c r="D134" s="8" t="str">
        <f aca="false">IFERROR(INDEX($D$153:$BK$153,B134),"-")</f>
        <v>-</v>
      </c>
      <c r="E134" s="8" t="str">
        <f aca="false">IFERROR(INDEX($D$143:$BK$143,B134),"-")</f>
        <v>-</v>
      </c>
      <c r="F134" s="8" t="str">
        <f aca="false">IFERROR(INDEX($D$146:$BK$146,B134),"-")</f>
        <v>-</v>
      </c>
      <c r="G134" s="9" t="str">
        <f aca="false">IFERROR(F134/E134,"-")</f>
        <v>-</v>
      </c>
    </row>
    <row r="135" customFormat="false" ht="15" hidden="false" customHeight="false" outlineLevel="0" collapsed="false">
      <c r="A135" s="0" t="s">
        <v>178</v>
      </c>
      <c r="B135" s="0" t="str">
        <f aca="false">IFERROR(MATCH(1,$D$190:$BK$190,0),"not in 60 mo")</f>
        <v>not in 60 mo</v>
      </c>
      <c r="C135" s="7" t="str">
        <f aca="false">IFERROR(INDEX($D$156:$BK$156,B135),"-")</f>
        <v>-</v>
      </c>
      <c r="D135" s="8" t="str">
        <f aca="false">IFERROR(INDEX($D$153:$BK$153,B135),"-")</f>
        <v>-</v>
      </c>
      <c r="E135" s="8" t="str">
        <f aca="false">IFERROR(INDEX($D$143:$BK$143,B135),"-")</f>
        <v>-</v>
      </c>
      <c r="F135" s="8" t="str">
        <f aca="false">IFERROR(INDEX($D$146:$BK$146,B135),"-")</f>
        <v>-</v>
      </c>
      <c r="G135" s="9" t="str">
        <f aca="false">IFERROR(F135/E135,"-")</f>
        <v>-</v>
      </c>
    </row>
    <row r="136" customFormat="false" ht="15" hidden="false" customHeight="false" outlineLevel="0" collapsed="false">
      <c r="A136" s="0" t="s">
        <v>179</v>
      </c>
      <c r="B136" s="0" t="str">
        <f aca="false">IFERROR(MATCH(1,$D$191:$BK$191,0),"not in 60 mo")</f>
        <v>not in 60 mo</v>
      </c>
      <c r="C136" s="7" t="str">
        <f aca="false">IFERROR(INDEX($D$156:$BK$156,B136),"-")</f>
        <v>-</v>
      </c>
      <c r="D136" s="8" t="str">
        <f aca="false">IFERROR(INDEX($D$153:$BK$153,B136),"-")</f>
        <v>-</v>
      </c>
      <c r="E136" s="8" t="str">
        <f aca="false">IFERROR(INDEX($D$143:$BK$143,B136),"-")</f>
        <v>-</v>
      </c>
      <c r="F136" s="8" t="str">
        <f aca="false">IFERROR(INDEX($D$146:$BK$146,B136),"-")</f>
        <v>-</v>
      </c>
      <c r="G136" s="9" t="str">
        <f aca="false">IFERROR(F136/E136,"-")</f>
        <v>-</v>
      </c>
    </row>
    <row r="139" customFormat="false" ht="15" hidden="false" customHeight="false" outlineLevel="0" collapsed="false">
      <c r="A139" s="0" t="s">
        <v>180</v>
      </c>
      <c r="C139" s="0" t="n">
        <v>0</v>
      </c>
      <c r="D139" s="50" t="n">
        <v>1</v>
      </c>
      <c r="E139" s="50" t="n">
        <v>2</v>
      </c>
      <c r="F139" s="50" t="n">
        <v>3</v>
      </c>
      <c r="G139" s="50" t="n">
        <v>4</v>
      </c>
      <c r="H139" s="50" t="n">
        <v>5</v>
      </c>
      <c r="I139" s="50" t="n">
        <v>6</v>
      </c>
      <c r="J139" s="50" t="n">
        <v>7</v>
      </c>
      <c r="K139" s="50" t="n">
        <v>8</v>
      </c>
      <c r="L139" s="50" t="n">
        <v>9</v>
      </c>
      <c r="M139" s="50" t="n">
        <v>10</v>
      </c>
      <c r="N139" s="50" t="n">
        <v>11</v>
      </c>
      <c r="O139" s="50" t="n">
        <v>12</v>
      </c>
      <c r="P139" s="50" t="n">
        <v>13</v>
      </c>
      <c r="Q139" s="50" t="n">
        <v>14</v>
      </c>
      <c r="R139" s="50" t="n">
        <v>15</v>
      </c>
      <c r="S139" s="50" t="n">
        <v>16</v>
      </c>
      <c r="T139" s="50" t="n">
        <v>17</v>
      </c>
      <c r="U139" s="50" t="n">
        <v>18</v>
      </c>
      <c r="V139" s="50" t="n">
        <v>19</v>
      </c>
      <c r="W139" s="50" t="n">
        <v>20</v>
      </c>
      <c r="X139" s="50" t="n">
        <v>21</v>
      </c>
      <c r="Y139" s="50" t="n">
        <v>22</v>
      </c>
      <c r="Z139" s="50" t="n">
        <v>23</v>
      </c>
      <c r="AA139" s="50" t="n">
        <v>24</v>
      </c>
      <c r="AB139" s="50" t="n">
        <v>25</v>
      </c>
      <c r="AC139" s="50" t="n">
        <v>26</v>
      </c>
      <c r="AD139" s="50" t="n">
        <v>27</v>
      </c>
      <c r="AE139" s="50" t="n">
        <v>28</v>
      </c>
      <c r="AF139" s="50" t="n">
        <v>29</v>
      </c>
      <c r="AG139" s="50" t="n">
        <v>30</v>
      </c>
      <c r="AH139" s="50" t="n">
        <v>31</v>
      </c>
      <c r="AI139" s="50" t="n">
        <v>32</v>
      </c>
      <c r="AJ139" s="50" t="n">
        <v>33</v>
      </c>
      <c r="AK139" s="50" t="n">
        <v>34</v>
      </c>
      <c r="AL139" s="50" t="n">
        <v>35</v>
      </c>
      <c r="AM139" s="50" t="n">
        <v>36</v>
      </c>
      <c r="AN139" s="50" t="n">
        <v>37</v>
      </c>
      <c r="AO139" s="50" t="n">
        <v>38</v>
      </c>
      <c r="AP139" s="50" t="n">
        <v>39</v>
      </c>
      <c r="AQ139" s="50" t="n">
        <v>40</v>
      </c>
      <c r="AR139" s="50" t="n">
        <v>41</v>
      </c>
      <c r="AS139" s="50" t="n">
        <v>42</v>
      </c>
      <c r="AT139" s="50" t="n">
        <v>43</v>
      </c>
      <c r="AU139" s="50" t="n">
        <v>44</v>
      </c>
      <c r="AV139" s="50" t="n">
        <v>45</v>
      </c>
      <c r="AW139" s="50" t="n">
        <v>46</v>
      </c>
      <c r="AX139" s="50" t="n">
        <v>47</v>
      </c>
      <c r="AY139" s="50" t="n">
        <v>48</v>
      </c>
      <c r="AZ139" s="50" t="n">
        <v>49</v>
      </c>
      <c r="BA139" s="50" t="n">
        <v>50</v>
      </c>
      <c r="BB139" s="50" t="n">
        <v>51</v>
      </c>
      <c r="BC139" s="50" t="n">
        <v>52</v>
      </c>
      <c r="BD139" s="50" t="n">
        <v>53</v>
      </c>
      <c r="BE139" s="50" t="n">
        <v>54</v>
      </c>
      <c r="BF139" s="50" t="n">
        <v>55</v>
      </c>
      <c r="BG139" s="50" t="n">
        <v>56</v>
      </c>
      <c r="BH139" s="50" t="n">
        <v>57</v>
      </c>
      <c r="BI139" s="50" t="n">
        <v>58</v>
      </c>
      <c r="BJ139" s="50" t="n">
        <v>59</v>
      </c>
      <c r="BK139" s="50" t="n">
        <v>60</v>
      </c>
    </row>
    <row r="140" customFormat="false" ht="15" hidden="false" customHeight="false" outlineLevel="0" collapsed="false">
      <c r="A140" s="0" t="s">
        <v>181</v>
      </c>
      <c r="D140" s="12" t="n">
        <f aca="false">MIN($D$22,$D$20*(1+$D$21)^(D139-1))</f>
        <v>1500</v>
      </c>
      <c r="E140" s="12" t="n">
        <f aca="false">MIN($D$22,$D$20*(1+$D$21)^(E139-1))</f>
        <v>1650</v>
      </c>
      <c r="F140" s="12" t="n">
        <f aca="false">MIN($D$22,$D$20*(1+$D$21)^(F139-1))</f>
        <v>1815</v>
      </c>
      <c r="G140" s="12" t="n">
        <f aca="false">MIN($D$22,$D$20*(1+$D$21)^(G139-1))</f>
        <v>1996.5</v>
      </c>
      <c r="H140" s="12" t="n">
        <f aca="false">MIN($D$22,$D$20*(1+$D$21)^(H139-1))</f>
        <v>2196.15</v>
      </c>
      <c r="I140" s="12" t="n">
        <f aca="false">MIN($D$22,$D$20*(1+$D$21)^(I139-1))</f>
        <v>2415.765</v>
      </c>
      <c r="J140" s="12" t="n">
        <f aca="false">MIN($D$22,$D$20*(1+$D$21)^(J139-1))</f>
        <v>2657.3415</v>
      </c>
      <c r="K140" s="12" t="n">
        <f aca="false">MIN($D$22,$D$20*(1+$D$21)^(K139-1))</f>
        <v>2923.07565</v>
      </c>
      <c r="L140" s="12" t="n">
        <f aca="false">MIN($D$22,$D$20*(1+$D$21)^(L139-1))</f>
        <v>3215.383215</v>
      </c>
      <c r="M140" s="12" t="n">
        <f aca="false">MIN($D$22,$D$20*(1+$D$21)^(M139-1))</f>
        <v>3536.9215365</v>
      </c>
      <c r="N140" s="12" t="n">
        <f aca="false">MIN($D$22,$D$20*(1+$D$21)^(N139-1))</f>
        <v>3890.61369015</v>
      </c>
      <c r="O140" s="12" t="n">
        <f aca="false">MIN($D$22,$D$20*(1+$D$21)^(O139-1))</f>
        <v>4279.675059165</v>
      </c>
      <c r="P140" s="12" t="n">
        <f aca="false">MIN($D$22,$D$20*(1+$D$21)^(P139-1))</f>
        <v>4707.6425650815</v>
      </c>
      <c r="Q140" s="12" t="n">
        <f aca="false">MIN($D$22,$D$20*(1+$D$21)^(Q139-1))</f>
        <v>5178.40682158966</v>
      </c>
      <c r="R140" s="12" t="n">
        <f aca="false">MIN($D$22,$D$20*(1+$D$21)^(R139-1))</f>
        <v>5696.24750374862</v>
      </c>
      <c r="S140" s="12" t="n">
        <f aca="false">MIN($D$22,$D$20*(1+$D$21)^(S139-1))</f>
        <v>6265.87225412349</v>
      </c>
      <c r="T140" s="12" t="n">
        <f aca="false">MIN($D$22,$D$20*(1+$D$21)^(T139-1))</f>
        <v>6892.45947953583</v>
      </c>
      <c r="U140" s="12" t="n">
        <f aca="false">MIN($D$22,$D$20*(1+$D$21)^(U139-1))</f>
        <v>7581.70542748942</v>
      </c>
      <c r="V140" s="12" t="n">
        <f aca="false">MIN($D$22,$D$20*(1+$D$21)^(V139-1))</f>
        <v>8339.87597023836</v>
      </c>
      <c r="W140" s="12" t="n">
        <f aca="false">MIN($D$22,$D$20*(1+$D$21)^(W139-1))</f>
        <v>9173.8635672622</v>
      </c>
      <c r="X140" s="12" t="n">
        <f aca="false">MIN($D$22,$D$20*(1+$D$21)^(X139-1))</f>
        <v>10091.2499239884</v>
      </c>
      <c r="Y140" s="12" t="n">
        <f aca="false">MIN($D$22,$D$20*(1+$D$21)^(Y139-1))</f>
        <v>11100.3749163873</v>
      </c>
      <c r="Z140" s="12" t="n">
        <f aca="false">MIN($D$22,$D$20*(1+$D$21)^(Z139-1))</f>
        <v>12210.412408026</v>
      </c>
      <c r="AA140" s="12" t="n">
        <f aca="false">MIN($D$22,$D$20*(1+$D$21)^(AA139-1))</f>
        <v>13431.4536488286</v>
      </c>
      <c r="AB140" s="12" t="n">
        <f aca="false">MIN($D$22,$D$20*(1+$D$21)^(AB139-1))</f>
        <v>14774.5990137114</v>
      </c>
      <c r="AC140" s="12" t="n">
        <f aca="false">MIN($D$22,$D$20*(1+$D$21)^(AC139-1))</f>
        <v>16252.0589150826</v>
      </c>
      <c r="AD140" s="12" t="n">
        <f aca="false">MIN($D$22,$D$20*(1+$D$21)^(AD139-1))</f>
        <v>17877.2648065909</v>
      </c>
      <c r="AE140" s="12" t="n">
        <f aca="false">MIN($D$22,$D$20*(1+$D$21)^(AE139-1))</f>
        <v>19664.9912872499</v>
      </c>
      <c r="AF140" s="12" t="n">
        <f aca="false">MIN($D$22,$D$20*(1+$D$21)^(AF139-1))</f>
        <v>21631.4904159749</v>
      </c>
      <c r="AG140" s="12" t="n">
        <f aca="false">MIN($D$22,$D$20*(1+$D$21)^(AG139-1))</f>
        <v>23794.6394575724</v>
      </c>
      <c r="AH140" s="12" t="n">
        <f aca="false">MIN($D$22,$D$20*(1+$D$21)^(AH139-1))</f>
        <v>26174.1034033297</v>
      </c>
      <c r="AI140" s="12" t="n">
        <f aca="false">MIN($D$22,$D$20*(1+$D$21)^(AI139-1))</f>
        <v>28791.5137436626</v>
      </c>
      <c r="AJ140" s="12" t="n">
        <f aca="false">MIN($D$22,$D$20*(1+$D$21)^(AJ139-1))</f>
        <v>31670.6651180289</v>
      </c>
      <c r="AK140" s="12" t="n">
        <f aca="false">MIN($D$22,$D$20*(1+$D$21)^(AK139-1))</f>
        <v>34837.7316298318</v>
      </c>
      <c r="AL140" s="12" t="n">
        <f aca="false">MIN($D$22,$D$20*(1+$D$21)^(AL139-1))</f>
        <v>38321.504792815</v>
      </c>
      <c r="AM140" s="12" t="n">
        <f aca="false">MIN($D$22,$D$20*(1+$D$21)^(AM139-1))</f>
        <v>42153.6552720965</v>
      </c>
      <c r="AN140" s="12" t="n">
        <f aca="false">MIN($D$22,$D$20*(1+$D$21)^(AN139-1))</f>
        <v>46369.0207993061</v>
      </c>
      <c r="AO140" s="12" t="n">
        <f aca="false">MIN($D$22,$D$20*(1+$D$21)^(AO139-1))</f>
        <v>51005.9228792368</v>
      </c>
      <c r="AP140" s="12" t="n">
        <f aca="false">MIN($D$22,$D$20*(1+$D$21)^(AP139-1))</f>
        <v>56106.5151671605</v>
      </c>
      <c r="AQ140" s="12" t="n">
        <f aca="false">MIN($D$22,$D$20*(1+$D$21)^(AQ139-1))</f>
        <v>61717.1666838765</v>
      </c>
      <c r="AR140" s="12" t="n">
        <f aca="false">MIN($D$22,$D$20*(1+$D$21)^(AR139-1))</f>
        <v>67888.8833522642</v>
      </c>
      <c r="AS140" s="12" t="n">
        <f aca="false">MIN($D$22,$D$20*(1+$D$21)^(AS139-1))</f>
        <v>74677.7716874906</v>
      </c>
      <c r="AT140" s="12" t="n">
        <f aca="false">MIN($D$22,$D$20*(1+$D$21)^(AT139-1))</f>
        <v>82145.5488562396</v>
      </c>
      <c r="AU140" s="12" t="n">
        <f aca="false">MIN($D$22,$D$20*(1+$D$21)^(AU139-1))</f>
        <v>90360.1037418636</v>
      </c>
      <c r="AV140" s="12" t="n">
        <f aca="false">MIN($D$22,$D$20*(1+$D$21)^(AV139-1))</f>
        <v>99396.11411605</v>
      </c>
      <c r="AW140" s="12" t="n">
        <f aca="false">MIN($D$22,$D$20*(1+$D$21)^(AW139-1))</f>
        <v>109335.725527655</v>
      </c>
      <c r="AX140" s="12" t="n">
        <f aca="false">MIN($D$22,$D$20*(1+$D$21)^(AX139-1))</f>
        <v>120000</v>
      </c>
      <c r="AY140" s="12" t="n">
        <f aca="false">MIN($D$22,$D$20*(1+$D$21)^(AY139-1))</f>
        <v>120000</v>
      </c>
      <c r="AZ140" s="12" t="n">
        <f aca="false">MIN($D$22,$D$20*(1+$D$21)^(AZ139-1))</f>
        <v>120000</v>
      </c>
      <c r="BA140" s="12" t="n">
        <f aca="false">MIN($D$22,$D$20*(1+$D$21)^(BA139-1))</f>
        <v>120000</v>
      </c>
      <c r="BB140" s="12" t="n">
        <f aca="false">MIN($D$22,$D$20*(1+$D$21)^(BB139-1))</f>
        <v>120000</v>
      </c>
      <c r="BC140" s="12" t="n">
        <f aca="false">MIN($D$22,$D$20*(1+$D$21)^(BC139-1))</f>
        <v>120000</v>
      </c>
      <c r="BD140" s="12" t="n">
        <f aca="false">MIN($D$22,$D$20*(1+$D$21)^(BD139-1))</f>
        <v>120000</v>
      </c>
      <c r="BE140" s="12" t="n">
        <f aca="false">MIN($D$22,$D$20*(1+$D$21)^(BE139-1))</f>
        <v>120000</v>
      </c>
      <c r="BF140" s="12" t="n">
        <f aca="false">MIN($D$22,$D$20*(1+$D$21)^(BF139-1))</f>
        <v>120000</v>
      </c>
      <c r="BG140" s="12" t="n">
        <f aca="false">MIN($D$22,$D$20*(1+$D$21)^(BG139-1))</f>
        <v>120000</v>
      </c>
      <c r="BH140" s="12" t="n">
        <f aca="false">MIN($D$22,$D$20*(1+$D$21)^(BH139-1))</f>
        <v>120000</v>
      </c>
      <c r="BI140" s="12" t="n">
        <f aca="false">MIN($D$22,$D$20*(1+$D$21)^(BI139-1))</f>
        <v>120000</v>
      </c>
      <c r="BJ140" s="12" t="n">
        <f aca="false">MIN($D$22,$D$20*(1+$D$21)^(BJ139-1))</f>
        <v>120000</v>
      </c>
      <c r="BK140" s="12" t="n">
        <f aca="false">MIN($D$22,$D$20*(1+$D$21)^(BK139-1))</f>
        <v>120000</v>
      </c>
    </row>
    <row r="141" customFormat="false" ht="15" hidden="false" customHeight="false" outlineLevel="0" collapsed="false">
      <c r="A141" s="0" t="s">
        <v>182</v>
      </c>
      <c r="D141" s="12" t="n">
        <f aca="false">$D$23/$D$24</f>
        <v>0</v>
      </c>
      <c r="E141" s="12" t="n">
        <f aca="false">$D$23/$D$24</f>
        <v>0</v>
      </c>
      <c r="F141" s="12" t="n">
        <f aca="false">$D$23/$D$24</f>
        <v>0</v>
      </c>
      <c r="G141" s="12" t="n">
        <f aca="false">$D$23/$D$24</f>
        <v>0</v>
      </c>
      <c r="H141" s="12" t="n">
        <f aca="false">$D$23/$D$24</f>
        <v>0</v>
      </c>
      <c r="I141" s="12" t="n">
        <f aca="false">$D$23/$D$24</f>
        <v>0</v>
      </c>
      <c r="J141" s="12" t="n">
        <f aca="false">$D$23/$D$24</f>
        <v>0</v>
      </c>
      <c r="K141" s="12" t="n">
        <f aca="false">$D$23/$D$24</f>
        <v>0</v>
      </c>
      <c r="L141" s="12" t="n">
        <f aca="false">$D$23/$D$24</f>
        <v>0</v>
      </c>
      <c r="M141" s="12" t="n">
        <f aca="false">$D$23/$D$24</f>
        <v>0</v>
      </c>
      <c r="N141" s="12" t="n">
        <f aca="false">$D$23/$D$24</f>
        <v>0</v>
      </c>
      <c r="O141" s="12" t="n">
        <f aca="false">$D$23/$D$24</f>
        <v>0</v>
      </c>
      <c r="P141" s="12" t="n">
        <f aca="false">$D$23/$D$24</f>
        <v>0</v>
      </c>
      <c r="Q141" s="12" t="n">
        <f aca="false">$D$23/$D$24</f>
        <v>0</v>
      </c>
      <c r="R141" s="12" t="n">
        <f aca="false">$D$23/$D$24</f>
        <v>0</v>
      </c>
      <c r="S141" s="12" t="n">
        <f aca="false">$D$23/$D$24</f>
        <v>0</v>
      </c>
      <c r="T141" s="12" t="n">
        <f aca="false">$D$23/$D$24</f>
        <v>0</v>
      </c>
      <c r="U141" s="12" t="n">
        <f aca="false">$D$23/$D$24</f>
        <v>0</v>
      </c>
      <c r="V141" s="12" t="n">
        <f aca="false">$D$23/$D$24</f>
        <v>0</v>
      </c>
      <c r="W141" s="12" t="n">
        <f aca="false">$D$23/$D$24</f>
        <v>0</v>
      </c>
      <c r="X141" s="12" t="n">
        <f aca="false">$D$23/$D$24</f>
        <v>0</v>
      </c>
      <c r="Y141" s="12" t="n">
        <f aca="false">$D$23/$D$24</f>
        <v>0</v>
      </c>
      <c r="Z141" s="12" t="n">
        <f aca="false">$D$23/$D$24</f>
        <v>0</v>
      </c>
      <c r="AA141" s="12" t="n">
        <f aca="false">$D$23/$D$24</f>
        <v>0</v>
      </c>
      <c r="AB141" s="12" t="n">
        <f aca="false">$D$23/$D$24</f>
        <v>0</v>
      </c>
      <c r="AC141" s="12" t="n">
        <f aca="false">$D$23/$D$24</f>
        <v>0</v>
      </c>
      <c r="AD141" s="12" t="n">
        <f aca="false">$D$23/$D$24</f>
        <v>0</v>
      </c>
      <c r="AE141" s="12" t="n">
        <f aca="false">$D$23/$D$24</f>
        <v>0</v>
      </c>
      <c r="AF141" s="12" t="n">
        <f aca="false">$D$23/$D$24</f>
        <v>0</v>
      </c>
      <c r="AG141" s="12" t="n">
        <f aca="false">$D$23/$D$24</f>
        <v>0</v>
      </c>
      <c r="AH141" s="12" t="n">
        <f aca="false">$D$23/$D$24</f>
        <v>0</v>
      </c>
      <c r="AI141" s="12" t="n">
        <f aca="false">$D$23/$D$24</f>
        <v>0</v>
      </c>
      <c r="AJ141" s="12" t="n">
        <f aca="false">$D$23/$D$24</f>
        <v>0</v>
      </c>
      <c r="AK141" s="12" t="n">
        <f aca="false">$D$23/$D$24</f>
        <v>0</v>
      </c>
      <c r="AL141" s="12" t="n">
        <f aca="false">$D$23/$D$24</f>
        <v>0</v>
      </c>
      <c r="AM141" s="12" t="n">
        <f aca="false">$D$23/$D$24</f>
        <v>0</v>
      </c>
      <c r="AN141" s="12" t="n">
        <f aca="false">$D$23/$D$24</f>
        <v>0</v>
      </c>
      <c r="AO141" s="12" t="n">
        <f aca="false">$D$23/$D$24</f>
        <v>0</v>
      </c>
      <c r="AP141" s="12" t="n">
        <f aca="false">$D$23/$D$24</f>
        <v>0</v>
      </c>
      <c r="AQ141" s="12" t="n">
        <f aca="false">$D$23/$D$24</f>
        <v>0</v>
      </c>
      <c r="AR141" s="12" t="n">
        <f aca="false">$D$23/$D$24</f>
        <v>0</v>
      </c>
      <c r="AS141" s="12" t="n">
        <f aca="false">$D$23/$D$24</f>
        <v>0</v>
      </c>
      <c r="AT141" s="12" t="n">
        <f aca="false">$D$23/$D$24</f>
        <v>0</v>
      </c>
      <c r="AU141" s="12" t="n">
        <f aca="false">$D$23/$D$24</f>
        <v>0</v>
      </c>
      <c r="AV141" s="12" t="n">
        <f aca="false">$D$23/$D$24</f>
        <v>0</v>
      </c>
      <c r="AW141" s="12" t="n">
        <f aca="false">$D$23/$D$24</f>
        <v>0</v>
      </c>
      <c r="AX141" s="12" t="n">
        <f aca="false">$D$23/$D$24</f>
        <v>0</v>
      </c>
      <c r="AY141" s="12" t="n">
        <f aca="false">$D$23/$D$24</f>
        <v>0</v>
      </c>
      <c r="AZ141" s="12" t="n">
        <f aca="false">$D$23/$D$24</f>
        <v>0</v>
      </c>
      <c r="BA141" s="12" t="n">
        <f aca="false">$D$23/$D$24</f>
        <v>0</v>
      </c>
      <c r="BB141" s="12" t="n">
        <f aca="false">$D$23/$D$24</f>
        <v>0</v>
      </c>
      <c r="BC141" s="12" t="n">
        <f aca="false">$D$23/$D$24</f>
        <v>0</v>
      </c>
      <c r="BD141" s="12" t="n">
        <f aca="false">$D$23/$D$24</f>
        <v>0</v>
      </c>
      <c r="BE141" s="12" t="n">
        <f aca="false">$D$23/$D$24</f>
        <v>0</v>
      </c>
      <c r="BF141" s="12" t="n">
        <f aca="false">$D$23/$D$24</f>
        <v>0</v>
      </c>
      <c r="BG141" s="12" t="n">
        <f aca="false">$D$23/$D$24</f>
        <v>0</v>
      </c>
      <c r="BH141" s="12" t="n">
        <f aca="false">$D$23/$D$24</f>
        <v>0</v>
      </c>
      <c r="BI141" s="12" t="n">
        <f aca="false">$D$23/$D$24</f>
        <v>0</v>
      </c>
      <c r="BJ141" s="12" t="n">
        <f aca="false">$D$23/$D$24</f>
        <v>0</v>
      </c>
      <c r="BK141" s="12" t="n">
        <f aca="false">$D$23/$D$24</f>
        <v>0</v>
      </c>
    </row>
    <row r="142" customFormat="false" ht="15" hidden="false" customHeight="false" outlineLevel="0" collapsed="false">
      <c r="A142" s="0" t="s">
        <v>183</v>
      </c>
      <c r="D142" s="8" t="n">
        <f aca="false">C146*$D$31*$D$32</f>
        <v>0</v>
      </c>
      <c r="E142" s="8" t="n">
        <f aca="false">D146*$D$31*$D$32</f>
        <v>0</v>
      </c>
      <c r="F142" s="8" t="n">
        <f aca="false">E146*$D$31*$D$32</f>
        <v>0</v>
      </c>
      <c r="G142" s="8" t="n">
        <f aca="false">F146*$D$31*$D$32</f>
        <v>0</v>
      </c>
      <c r="H142" s="8" t="n">
        <f aca="false">G146*$D$31*$D$32</f>
        <v>0</v>
      </c>
      <c r="I142" s="8" t="n">
        <f aca="false">H146*$D$31*$D$32</f>
        <v>0</v>
      </c>
      <c r="J142" s="8" t="n">
        <f aca="false">I146*$D$31*$D$32</f>
        <v>0</v>
      </c>
      <c r="K142" s="8" t="n">
        <f aca="false">J146*$D$31*$D$32</f>
        <v>0</v>
      </c>
      <c r="L142" s="8" t="n">
        <f aca="false">K146*$D$31*$D$32</f>
        <v>0</v>
      </c>
      <c r="M142" s="8" t="n">
        <f aca="false">L146*$D$31*$D$32</f>
        <v>0</v>
      </c>
      <c r="N142" s="8" t="n">
        <f aca="false">M146*$D$31*$D$32</f>
        <v>0</v>
      </c>
      <c r="O142" s="8" t="n">
        <f aca="false">N146*$D$31*$D$32</f>
        <v>0</v>
      </c>
      <c r="P142" s="8" t="n">
        <f aca="false">O146*$D$31*$D$32</f>
        <v>0</v>
      </c>
      <c r="Q142" s="8" t="n">
        <f aca="false">P146*$D$31*$D$32</f>
        <v>0</v>
      </c>
      <c r="R142" s="8" t="n">
        <f aca="false">Q146*$D$31*$D$32</f>
        <v>0</v>
      </c>
      <c r="S142" s="8" t="n">
        <f aca="false">R146*$D$31*$D$32</f>
        <v>0</v>
      </c>
      <c r="T142" s="8" t="n">
        <f aca="false">S146*$D$31*$D$32</f>
        <v>0</v>
      </c>
      <c r="U142" s="8" t="n">
        <f aca="false">T146*$D$31*$D$32</f>
        <v>0</v>
      </c>
      <c r="V142" s="8" t="n">
        <f aca="false">U146*$D$31*$D$32</f>
        <v>0</v>
      </c>
      <c r="W142" s="8" t="n">
        <f aca="false">V146*$D$31*$D$32</f>
        <v>0</v>
      </c>
      <c r="X142" s="8" t="n">
        <f aca="false">W146*$D$31*$D$32</f>
        <v>0</v>
      </c>
      <c r="Y142" s="8" t="n">
        <f aca="false">X146*$D$31*$D$32</f>
        <v>0</v>
      </c>
      <c r="Z142" s="8" t="n">
        <f aca="false">Y146*$D$31*$D$32</f>
        <v>0</v>
      </c>
      <c r="AA142" s="8" t="n">
        <f aca="false">Z146*$D$31*$D$32</f>
        <v>0</v>
      </c>
      <c r="AB142" s="8" t="n">
        <f aca="false">AA146*$D$31*$D$32</f>
        <v>0</v>
      </c>
      <c r="AC142" s="8" t="n">
        <f aca="false">AB146*$D$31*$D$32</f>
        <v>0</v>
      </c>
      <c r="AD142" s="8" t="n">
        <f aca="false">AC146*$D$31*$D$32</f>
        <v>0</v>
      </c>
      <c r="AE142" s="8" t="n">
        <f aca="false">AD146*$D$31*$D$32</f>
        <v>0</v>
      </c>
      <c r="AF142" s="8" t="n">
        <f aca="false">AE146*$D$31*$D$32</f>
        <v>0</v>
      </c>
      <c r="AG142" s="8" t="n">
        <f aca="false">AF146*$D$31*$D$32</f>
        <v>0</v>
      </c>
      <c r="AH142" s="8" t="n">
        <f aca="false">AG146*$D$31*$D$32</f>
        <v>0</v>
      </c>
      <c r="AI142" s="8" t="n">
        <f aca="false">AH146*$D$31*$D$32</f>
        <v>0</v>
      </c>
      <c r="AJ142" s="8" t="n">
        <f aca="false">AI146*$D$31*$D$32</f>
        <v>0</v>
      </c>
      <c r="AK142" s="8" t="n">
        <f aca="false">AJ146*$D$31*$D$32</f>
        <v>0</v>
      </c>
      <c r="AL142" s="8" t="n">
        <f aca="false">AK146*$D$31*$D$32</f>
        <v>0</v>
      </c>
      <c r="AM142" s="8" t="n">
        <f aca="false">AL146*$D$31*$D$32</f>
        <v>0</v>
      </c>
      <c r="AN142" s="8" t="n">
        <f aca="false">AM146*$D$31*$D$32</f>
        <v>0</v>
      </c>
      <c r="AO142" s="8" t="n">
        <f aca="false">AN146*$D$31*$D$32</f>
        <v>0</v>
      </c>
      <c r="AP142" s="8" t="n">
        <f aca="false">AO146*$D$31*$D$32</f>
        <v>0</v>
      </c>
      <c r="AQ142" s="8" t="n">
        <f aca="false">AP146*$D$31*$D$32</f>
        <v>0</v>
      </c>
      <c r="AR142" s="8" t="n">
        <f aca="false">AQ146*$D$31*$D$32</f>
        <v>0</v>
      </c>
      <c r="AS142" s="8" t="n">
        <f aca="false">AR146*$D$31*$D$32</f>
        <v>0</v>
      </c>
      <c r="AT142" s="8" t="n">
        <f aca="false">AS146*$D$31*$D$32</f>
        <v>0</v>
      </c>
      <c r="AU142" s="8" t="n">
        <f aca="false">AT146*$D$31*$D$32</f>
        <v>0</v>
      </c>
      <c r="AV142" s="8" t="n">
        <f aca="false">AU146*$D$31*$D$32</f>
        <v>0</v>
      </c>
      <c r="AW142" s="8" t="n">
        <f aca="false">AV146*$D$31*$D$32</f>
        <v>0</v>
      </c>
      <c r="AX142" s="8" t="n">
        <f aca="false">AW146*$D$31*$D$32</f>
        <v>0</v>
      </c>
      <c r="AY142" s="8" t="n">
        <f aca="false">AX146*$D$31*$D$32</f>
        <v>0</v>
      </c>
      <c r="AZ142" s="8" t="n">
        <f aca="false">AY146*$D$31*$D$32</f>
        <v>0</v>
      </c>
      <c r="BA142" s="8" t="n">
        <f aca="false">AZ146*$D$31*$D$32</f>
        <v>0</v>
      </c>
      <c r="BB142" s="8" t="n">
        <f aca="false">BA146*$D$31*$D$32</f>
        <v>0</v>
      </c>
      <c r="BC142" s="8" t="n">
        <f aca="false">BB146*$D$31*$D$32</f>
        <v>0</v>
      </c>
      <c r="BD142" s="8" t="n">
        <f aca="false">BC146*$D$31*$D$32</f>
        <v>0</v>
      </c>
      <c r="BE142" s="8" t="n">
        <f aca="false">BD146*$D$31*$D$32</f>
        <v>0</v>
      </c>
      <c r="BF142" s="8" t="n">
        <f aca="false">BE146*$D$31*$D$32</f>
        <v>0</v>
      </c>
      <c r="BG142" s="8" t="n">
        <f aca="false">BF146*$D$31*$D$32</f>
        <v>0</v>
      </c>
      <c r="BH142" s="8" t="n">
        <f aca="false">BG146*$D$31*$D$32</f>
        <v>0</v>
      </c>
      <c r="BI142" s="8" t="n">
        <f aca="false">BH146*$D$31*$D$32</f>
        <v>0</v>
      </c>
      <c r="BJ142" s="8" t="n">
        <f aca="false">BI146*$D$31*$D$32</f>
        <v>0</v>
      </c>
      <c r="BK142" s="8" t="n">
        <f aca="false">BJ146*$D$31*$D$32</f>
        <v>0</v>
      </c>
    </row>
    <row r="143" customFormat="false" ht="15" hidden="false" customHeight="false" outlineLevel="0" collapsed="false">
      <c r="A143" s="0" t="s">
        <v>184</v>
      </c>
      <c r="D143" s="12" t="n">
        <f aca="false">D140+D141</f>
        <v>1500</v>
      </c>
      <c r="E143" s="12" t="n">
        <f aca="false">E140+E141</f>
        <v>1650</v>
      </c>
      <c r="F143" s="12" t="n">
        <f aca="false">F140+F141</f>
        <v>1815</v>
      </c>
      <c r="G143" s="12" t="n">
        <f aca="false">G140+G141</f>
        <v>1996.5</v>
      </c>
      <c r="H143" s="12" t="n">
        <f aca="false">H140+H141</f>
        <v>2196.15</v>
      </c>
      <c r="I143" s="12" t="n">
        <f aca="false">I140+I141</f>
        <v>2415.765</v>
      </c>
      <c r="J143" s="12" t="n">
        <f aca="false">J140+J141</f>
        <v>2657.3415</v>
      </c>
      <c r="K143" s="12" t="n">
        <f aca="false">K140+K141</f>
        <v>2923.07565</v>
      </c>
      <c r="L143" s="12" t="n">
        <f aca="false">L140+L141</f>
        <v>3215.383215</v>
      </c>
      <c r="M143" s="12" t="n">
        <f aca="false">M140+M141</f>
        <v>3536.9215365</v>
      </c>
      <c r="N143" s="12" t="n">
        <f aca="false">N140+N141</f>
        <v>3890.61369015</v>
      </c>
      <c r="O143" s="12" t="n">
        <f aca="false">O140+O141</f>
        <v>4279.675059165</v>
      </c>
      <c r="P143" s="12" t="n">
        <f aca="false">P140+P141</f>
        <v>4707.6425650815</v>
      </c>
      <c r="Q143" s="12" t="n">
        <f aca="false">Q140+Q141</f>
        <v>5178.40682158966</v>
      </c>
      <c r="R143" s="12" t="n">
        <f aca="false">R140+R141</f>
        <v>5696.24750374862</v>
      </c>
      <c r="S143" s="12" t="n">
        <f aca="false">S140+S141</f>
        <v>6265.87225412349</v>
      </c>
      <c r="T143" s="12" t="n">
        <f aca="false">T140+T141</f>
        <v>6892.45947953583</v>
      </c>
      <c r="U143" s="12" t="n">
        <f aca="false">U140+U141</f>
        <v>7581.70542748942</v>
      </c>
      <c r="V143" s="12" t="n">
        <f aca="false">V140+V141</f>
        <v>8339.87597023836</v>
      </c>
      <c r="W143" s="12" t="n">
        <f aca="false">W140+W141</f>
        <v>9173.8635672622</v>
      </c>
      <c r="X143" s="12" t="n">
        <f aca="false">X140+X141</f>
        <v>10091.2499239884</v>
      </c>
      <c r="Y143" s="12" t="n">
        <f aca="false">Y140+Y141</f>
        <v>11100.3749163873</v>
      </c>
      <c r="Z143" s="12" t="n">
        <f aca="false">Z140+Z141</f>
        <v>12210.412408026</v>
      </c>
      <c r="AA143" s="12" t="n">
        <f aca="false">AA140+AA141</f>
        <v>13431.4536488286</v>
      </c>
      <c r="AB143" s="12" t="n">
        <f aca="false">AB140+AB141</f>
        <v>14774.5990137114</v>
      </c>
      <c r="AC143" s="12" t="n">
        <f aca="false">AC140+AC141</f>
        <v>16252.0589150826</v>
      </c>
      <c r="AD143" s="12" t="n">
        <f aca="false">AD140+AD141</f>
        <v>17877.2648065909</v>
      </c>
      <c r="AE143" s="12" t="n">
        <f aca="false">AE140+AE141</f>
        <v>19664.9912872499</v>
      </c>
      <c r="AF143" s="12" t="n">
        <f aca="false">AF140+AF141</f>
        <v>21631.4904159749</v>
      </c>
      <c r="AG143" s="12" t="n">
        <f aca="false">AG140+AG141</f>
        <v>23794.6394575724</v>
      </c>
      <c r="AH143" s="12" t="n">
        <f aca="false">AH140+AH141</f>
        <v>26174.1034033297</v>
      </c>
      <c r="AI143" s="12" t="n">
        <f aca="false">AI140+AI141</f>
        <v>28791.5137436626</v>
      </c>
      <c r="AJ143" s="12" t="n">
        <f aca="false">AJ140+AJ141</f>
        <v>31670.6651180289</v>
      </c>
      <c r="AK143" s="12" t="n">
        <f aca="false">AK140+AK141</f>
        <v>34837.7316298318</v>
      </c>
      <c r="AL143" s="12" t="n">
        <f aca="false">AL140+AL141</f>
        <v>38321.504792815</v>
      </c>
      <c r="AM143" s="12" t="n">
        <f aca="false">AM140+AM141</f>
        <v>42153.6552720965</v>
      </c>
      <c r="AN143" s="12" t="n">
        <f aca="false">AN140+AN141</f>
        <v>46369.0207993061</v>
      </c>
      <c r="AO143" s="12" t="n">
        <f aca="false">AO140+AO141</f>
        <v>51005.9228792368</v>
      </c>
      <c r="AP143" s="12" t="n">
        <f aca="false">AP140+AP141</f>
        <v>56106.5151671605</v>
      </c>
      <c r="AQ143" s="12" t="n">
        <f aca="false">AQ140+AQ141</f>
        <v>61717.1666838765</v>
      </c>
      <c r="AR143" s="12" t="n">
        <f aca="false">AR140+AR141</f>
        <v>67888.8833522642</v>
      </c>
      <c r="AS143" s="12" t="n">
        <f aca="false">AS140+AS141</f>
        <v>74677.7716874906</v>
      </c>
      <c r="AT143" s="12" t="n">
        <f aca="false">AT140+AT141</f>
        <v>82145.5488562396</v>
      </c>
      <c r="AU143" s="12" t="n">
        <f aca="false">AU140+AU141</f>
        <v>90360.1037418636</v>
      </c>
      <c r="AV143" s="12" t="n">
        <f aca="false">AV140+AV141</f>
        <v>99396.11411605</v>
      </c>
      <c r="AW143" s="12" t="n">
        <f aca="false">AW140+AW141</f>
        <v>109335.725527655</v>
      </c>
      <c r="AX143" s="12" t="n">
        <f aca="false">AX140+AX141</f>
        <v>120000</v>
      </c>
      <c r="AY143" s="12" t="n">
        <f aca="false">AY140+AY141</f>
        <v>120000</v>
      </c>
      <c r="AZ143" s="12" t="n">
        <f aca="false">AZ140+AZ141</f>
        <v>120000</v>
      </c>
      <c r="BA143" s="12" t="n">
        <f aca="false">BA140+BA141</f>
        <v>120000</v>
      </c>
      <c r="BB143" s="12" t="n">
        <f aca="false">BB140+BB141</f>
        <v>120000</v>
      </c>
      <c r="BC143" s="12" t="n">
        <f aca="false">BC140+BC141</f>
        <v>120000</v>
      </c>
      <c r="BD143" s="12" t="n">
        <f aca="false">BD140+BD141</f>
        <v>120000</v>
      </c>
      <c r="BE143" s="12" t="n">
        <f aca="false">BE140+BE141</f>
        <v>120000</v>
      </c>
      <c r="BF143" s="12" t="n">
        <f aca="false">BF140+BF141</f>
        <v>120000</v>
      </c>
      <c r="BG143" s="12" t="n">
        <f aca="false">BG140+BG141</f>
        <v>120000</v>
      </c>
      <c r="BH143" s="12" t="n">
        <f aca="false">BH140+BH141</f>
        <v>120000</v>
      </c>
      <c r="BI143" s="12" t="n">
        <f aca="false">BI140+BI141</f>
        <v>120000</v>
      </c>
      <c r="BJ143" s="12" t="n">
        <f aca="false">BJ140+BJ141</f>
        <v>120000</v>
      </c>
      <c r="BK143" s="12" t="n">
        <f aca="false">BK140+BK141</f>
        <v>120000</v>
      </c>
    </row>
    <row r="144" customFormat="false" ht="15" hidden="false" customHeight="false" outlineLevel="0" collapsed="false">
      <c r="A144" s="0" t="s">
        <v>185</v>
      </c>
      <c r="D144" s="8" t="n">
        <f aca="false">D143*$D$25+D142</f>
        <v>37.5</v>
      </c>
      <c r="E144" s="8" t="n">
        <f aca="false">E143*$D$25+E142</f>
        <v>41.25</v>
      </c>
      <c r="F144" s="8" t="n">
        <f aca="false">F143*$D$25+F142</f>
        <v>45.375</v>
      </c>
      <c r="G144" s="8" t="n">
        <f aca="false">G143*$D$25+G142</f>
        <v>49.9125</v>
      </c>
      <c r="H144" s="8" t="n">
        <f aca="false">H143*$D$25+H142</f>
        <v>54.90375</v>
      </c>
      <c r="I144" s="8" t="n">
        <f aca="false">I143*$D$25+I142</f>
        <v>60.394125</v>
      </c>
      <c r="J144" s="8" t="n">
        <f aca="false">J143*$D$25+J142</f>
        <v>66.4335375</v>
      </c>
      <c r="K144" s="8" t="n">
        <f aca="false">K143*$D$25+K142</f>
        <v>73.0768912500001</v>
      </c>
      <c r="L144" s="8" t="n">
        <f aca="false">L143*$D$25+L142</f>
        <v>80.3845803750001</v>
      </c>
      <c r="M144" s="8" t="n">
        <f aca="false">M143*$D$25+M142</f>
        <v>88.4230384125001</v>
      </c>
      <c r="N144" s="8" t="n">
        <f aca="false">N143*$D$25+N142</f>
        <v>97.2653422537501</v>
      </c>
      <c r="O144" s="8" t="n">
        <f aca="false">O143*$D$25+O142</f>
        <v>106.991876479125</v>
      </c>
      <c r="P144" s="8" t="n">
        <f aca="false">P143*$D$25+P142</f>
        <v>117.691064127038</v>
      </c>
      <c r="Q144" s="8" t="n">
        <f aca="false">Q143*$D$25+Q142</f>
        <v>129.460170539741</v>
      </c>
      <c r="R144" s="8" t="n">
        <f aca="false">R143*$D$25+R142</f>
        <v>142.406187593716</v>
      </c>
      <c r="S144" s="8" t="n">
        <f aca="false">S143*$D$25+S142</f>
        <v>156.646806353087</v>
      </c>
      <c r="T144" s="8" t="n">
        <f aca="false">T143*$D$25+T142</f>
        <v>172.311486988396</v>
      </c>
      <c r="U144" s="8" t="n">
        <f aca="false">U143*$D$25+U142</f>
        <v>189.542635687235</v>
      </c>
      <c r="V144" s="8" t="n">
        <f aca="false">V143*$D$25+V142</f>
        <v>208.496899255959</v>
      </c>
      <c r="W144" s="8" t="n">
        <f aca="false">W143*$D$25+W142</f>
        <v>229.346589181555</v>
      </c>
      <c r="X144" s="8" t="n">
        <f aca="false">X143*$D$25+X142</f>
        <v>252.28124809971</v>
      </c>
      <c r="Y144" s="8" t="n">
        <f aca="false">Y143*$D$25+Y142</f>
        <v>277.509372909682</v>
      </c>
      <c r="Z144" s="8" t="n">
        <f aca="false">Z143*$D$25+Z142</f>
        <v>305.26031020065</v>
      </c>
      <c r="AA144" s="8" t="n">
        <f aca="false">AA143*$D$25+AA142</f>
        <v>335.786341220715</v>
      </c>
      <c r="AB144" s="8" t="n">
        <f aca="false">AB143*$D$25+AB142</f>
        <v>369.364975342786</v>
      </c>
      <c r="AC144" s="8" t="n">
        <f aca="false">AC143*$D$25+AC142</f>
        <v>406.301472877065</v>
      </c>
      <c r="AD144" s="8" t="n">
        <f aca="false">AD143*$D$25+AD142</f>
        <v>446.931620164771</v>
      </c>
      <c r="AE144" s="8" t="n">
        <f aca="false">AE143*$D$25+AE142</f>
        <v>491.624782181249</v>
      </c>
      <c r="AF144" s="8" t="n">
        <f aca="false">AF143*$D$25+AF142</f>
        <v>540.787260399373</v>
      </c>
      <c r="AG144" s="8" t="n">
        <f aca="false">AG143*$D$25+AG142</f>
        <v>594.865986439311</v>
      </c>
      <c r="AH144" s="8" t="n">
        <f aca="false">AH143*$D$25+AH142</f>
        <v>654.352585083242</v>
      </c>
      <c r="AI144" s="8" t="n">
        <f aca="false">AI143*$D$25+AI142</f>
        <v>719.787843591566</v>
      </c>
      <c r="AJ144" s="8" t="n">
        <f aca="false">AJ143*$D$25+AJ142</f>
        <v>791.766627950723</v>
      </c>
      <c r="AK144" s="8" t="n">
        <f aca="false">AK143*$D$25+AK142</f>
        <v>870.943290745795</v>
      </c>
      <c r="AL144" s="8" t="n">
        <f aca="false">AL143*$D$25+AL142</f>
        <v>958.037619820375</v>
      </c>
      <c r="AM144" s="8" t="n">
        <f aca="false">AM143*$D$25+AM142</f>
        <v>1053.84138180241</v>
      </c>
      <c r="AN144" s="8" t="n">
        <f aca="false">AN143*$D$25+AN142</f>
        <v>1159.22551998265</v>
      </c>
      <c r="AO144" s="8" t="n">
        <f aca="false">AO143*$D$25+AO142</f>
        <v>1275.14807198092</v>
      </c>
      <c r="AP144" s="8" t="n">
        <f aca="false">AP143*$D$25+AP142</f>
        <v>1402.66287917901</v>
      </c>
      <c r="AQ144" s="8" t="n">
        <f aca="false">AQ143*$D$25+AQ142</f>
        <v>1542.92916709691</v>
      </c>
      <c r="AR144" s="8" t="n">
        <f aca="false">AR143*$D$25+AR142</f>
        <v>1697.2220838066</v>
      </c>
      <c r="AS144" s="8" t="n">
        <f aca="false">AS143*$D$25+AS142</f>
        <v>1866.94429218726</v>
      </c>
      <c r="AT144" s="8" t="n">
        <f aca="false">AT143*$D$25+AT142</f>
        <v>2053.63872140599</v>
      </c>
      <c r="AU144" s="8" t="n">
        <f aca="false">AU143*$D$25+AU142</f>
        <v>2259.00259354659</v>
      </c>
      <c r="AV144" s="8" t="n">
        <f aca="false">AV143*$D$25+AV142</f>
        <v>2484.90285290125</v>
      </c>
      <c r="AW144" s="8" t="n">
        <f aca="false">AW143*$D$25+AW142</f>
        <v>2733.39313819138</v>
      </c>
      <c r="AX144" s="8" t="n">
        <f aca="false">AX143*$D$25+AX142</f>
        <v>3000</v>
      </c>
      <c r="AY144" s="8" t="n">
        <f aca="false">AY143*$D$25+AY142</f>
        <v>3000</v>
      </c>
      <c r="AZ144" s="8" t="n">
        <f aca="false">AZ143*$D$25+AZ142</f>
        <v>3000</v>
      </c>
      <c r="BA144" s="8" t="n">
        <f aca="false">BA143*$D$25+BA142</f>
        <v>3000</v>
      </c>
      <c r="BB144" s="8" t="n">
        <f aca="false">BB143*$D$25+BB142</f>
        <v>3000</v>
      </c>
      <c r="BC144" s="8" t="n">
        <f aca="false">BC143*$D$25+BC142</f>
        <v>3000</v>
      </c>
      <c r="BD144" s="8" t="n">
        <f aca="false">BD143*$D$25+BD142</f>
        <v>3000</v>
      </c>
      <c r="BE144" s="8" t="n">
        <f aca="false">BE143*$D$25+BE142</f>
        <v>3000</v>
      </c>
      <c r="BF144" s="8" t="n">
        <f aca="false">BF143*$D$25+BF142</f>
        <v>3000</v>
      </c>
      <c r="BG144" s="8" t="n">
        <f aca="false">BG143*$D$25+BG142</f>
        <v>3000</v>
      </c>
      <c r="BH144" s="8" t="n">
        <f aca="false">BH143*$D$25+BH142</f>
        <v>3000</v>
      </c>
      <c r="BI144" s="8" t="n">
        <f aca="false">BI143*$D$25+BI142</f>
        <v>3000</v>
      </c>
      <c r="BJ144" s="8" t="n">
        <f aca="false">BJ143*$D$25+BJ142</f>
        <v>3000</v>
      </c>
      <c r="BK144" s="8" t="n">
        <f aca="false">BK143*$D$25+BK142</f>
        <v>3000</v>
      </c>
    </row>
    <row r="145" customFormat="false" ht="15" hidden="false" customHeight="false" outlineLevel="0" collapsed="false">
      <c r="A145" s="0" t="s">
        <v>186</v>
      </c>
      <c r="D145" s="8" t="n">
        <f aca="false">D144*$D$26</f>
        <v>16.875</v>
      </c>
      <c r="E145" s="8" t="n">
        <f aca="false">E144*$D$26</f>
        <v>18.5625</v>
      </c>
      <c r="F145" s="8" t="n">
        <f aca="false">F144*$D$26</f>
        <v>20.41875</v>
      </c>
      <c r="G145" s="8" t="n">
        <f aca="false">G144*$D$26</f>
        <v>22.460625</v>
      </c>
      <c r="H145" s="8" t="n">
        <f aca="false">H144*$D$26</f>
        <v>24.7066875</v>
      </c>
      <c r="I145" s="8" t="n">
        <f aca="false">I144*$D$26</f>
        <v>27.17735625</v>
      </c>
      <c r="J145" s="8" t="n">
        <f aca="false">J144*$D$26</f>
        <v>29.895091875</v>
      </c>
      <c r="K145" s="8" t="n">
        <f aca="false">K144*$D$26</f>
        <v>32.8846010625</v>
      </c>
      <c r="L145" s="8" t="n">
        <f aca="false">L144*$D$26</f>
        <v>36.17306116875</v>
      </c>
      <c r="M145" s="8" t="n">
        <f aca="false">M144*$D$26</f>
        <v>39.790367285625</v>
      </c>
      <c r="N145" s="8" t="n">
        <f aca="false">N144*$D$26</f>
        <v>43.7694040141875</v>
      </c>
      <c r="O145" s="8" t="n">
        <f aca="false">O144*$D$26</f>
        <v>48.1463444156063</v>
      </c>
      <c r="P145" s="8" t="n">
        <f aca="false">P144*$D$26</f>
        <v>52.9609788571669</v>
      </c>
      <c r="Q145" s="8" t="n">
        <f aca="false">Q144*$D$26</f>
        <v>58.2570767428836</v>
      </c>
      <c r="R145" s="8" t="n">
        <f aca="false">R144*$D$26</f>
        <v>64.082784417172</v>
      </c>
      <c r="S145" s="8" t="n">
        <f aca="false">S144*$D$26</f>
        <v>70.4910628588892</v>
      </c>
      <c r="T145" s="8" t="n">
        <f aca="false">T144*$D$26</f>
        <v>77.5401691447781</v>
      </c>
      <c r="U145" s="8" t="n">
        <f aca="false">U144*$D$26</f>
        <v>85.294186059256</v>
      </c>
      <c r="V145" s="8" t="n">
        <f aca="false">V144*$D$26</f>
        <v>93.8236046651816</v>
      </c>
      <c r="W145" s="8" t="n">
        <f aca="false">W144*$D$26</f>
        <v>103.2059651317</v>
      </c>
      <c r="X145" s="8" t="n">
        <f aca="false">X144*$D$26</f>
        <v>113.52656164487</v>
      </c>
      <c r="Y145" s="8" t="n">
        <f aca="false">Y144*$D$26</f>
        <v>124.879217809357</v>
      </c>
      <c r="Z145" s="8" t="n">
        <f aca="false">Z144*$D$26</f>
        <v>137.367139590292</v>
      </c>
      <c r="AA145" s="8" t="n">
        <f aca="false">AA144*$D$26</f>
        <v>151.103853549322</v>
      </c>
      <c r="AB145" s="8" t="n">
        <f aca="false">AB144*$D$26</f>
        <v>166.214238904254</v>
      </c>
      <c r="AC145" s="8" t="n">
        <f aca="false">AC144*$D$26</f>
        <v>182.835662794679</v>
      </c>
      <c r="AD145" s="8" t="n">
        <f aca="false">AD144*$D$26</f>
        <v>201.119229074147</v>
      </c>
      <c r="AE145" s="8" t="n">
        <f aca="false">AE144*$D$26</f>
        <v>221.231151981562</v>
      </c>
      <c r="AF145" s="8" t="n">
        <f aca="false">AF144*$D$26</f>
        <v>243.354267179718</v>
      </c>
      <c r="AG145" s="8" t="n">
        <f aca="false">AG144*$D$26</f>
        <v>267.68969389769</v>
      </c>
      <c r="AH145" s="8" t="n">
        <f aca="false">AH144*$D$26</f>
        <v>294.458663287459</v>
      </c>
      <c r="AI145" s="8" t="n">
        <f aca="false">AI144*$D$26</f>
        <v>323.904529616205</v>
      </c>
      <c r="AJ145" s="8" t="n">
        <f aca="false">AJ144*$D$26</f>
        <v>356.294982577825</v>
      </c>
      <c r="AK145" s="8" t="n">
        <f aca="false">AK144*$D$26</f>
        <v>391.924480835608</v>
      </c>
      <c r="AL145" s="8" t="n">
        <f aca="false">AL144*$D$26</f>
        <v>431.116928919169</v>
      </c>
      <c r="AM145" s="8" t="n">
        <f aca="false">AM144*$D$26</f>
        <v>474.228621811086</v>
      </c>
      <c r="AN145" s="8" t="n">
        <f aca="false">AN144*$D$26</f>
        <v>521.651483992194</v>
      </c>
      <c r="AO145" s="8" t="n">
        <f aca="false">AO144*$D$26</f>
        <v>573.816632391414</v>
      </c>
      <c r="AP145" s="8" t="n">
        <f aca="false">AP144*$D$26</f>
        <v>631.198295630555</v>
      </c>
      <c r="AQ145" s="8" t="n">
        <f aca="false">AQ144*$D$26</f>
        <v>694.318125193611</v>
      </c>
      <c r="AR145" s="8" t="n">
        <f aca="false">AR144*$D$26</f>
        <v>763.749937712972</v>
      </c>
      <c r="AS145" s="8" t="n">
        <f aca="false">AS144*$D$26</f>
        <v>840.124931484269</v>
      </c>
      <c r="AT145" s="8" t="n">
        <f aca="false">AT144*$D$26</f>
        <v>924.137424632696</v>
      </c>
      <c r="AU145" s="8" t="n">
        <f aca="false">AU144*$D$26</f>
        <v>1016.55116709597</v>
      </c>
      <c r="AV145" s="8" t="n">
        <f aca="false">AV144*$D$26</f>
        <v>1118.20628380556</v>
      </c>
      <c r="AW145" s="8" t="n">
        <f aca="false">AW144*$D$26</f>
        <v>1230.02691218612</v>
      </c>
      <c r="AX145" s="8" t="n">
        <f aca="false">AX144*$D$26</f>
        <v>1350</v>
      </c>
      <c r="AY145" s="8" t="n">
        <f aca="false">AY144*$D$26</f>
        <v>1350</v>
      </c>
      <c r="AZ145" s="8" t="n">
        <f aca="false">AZ144*$D$26</f>
        <v>1350</v>
      </c>
      <c r="BA145" s="8" t="n">
        <f aca="false">BA144*$D$26</f>
        <v>1350</v>
      </c>
      <c r="BB145" s="8" t="n">
        <f aca="false">BB144*$D$26</f>
        <v>1350</v>
      </c>
      <c r="BC145" s="8" t="n">
        <f aca="false">BC144*$D$26</f>
        <v>1350</v>
      </c>
      <c r="BD145" s="8" t="n">
        <f aca="false">BD144*$D$26</f>
        <v>1350</v>
      </c>
      <c r="BE145" s="8" t="n">
        <f aca="false">BE144*$D$26</f>
        <v>1350</v>
      </c>
      <c r="BF145" s="8" t="n">
        <f aca="false">BF144*$D$26</f>
        <v>1350</v>
      </c>
      <c r="BG145" s="8" t="n">
        <f aca="false">BG144*$D$26</f>
        <v>1350</v>
      </c>
      <c r="BH145" s="8" t="n">
        <f aca="false">BH144*$D$26</f>
        <v>1350</v>
      </c>
      <c r="BI145" s="8" t="n">
        <f aca="false">BI144*$D$26</f>
        <v>1350</v>
      </c>
      <c r="BJ145" s="8" t="n">
        <f aca="false">BJ144*$D$26</f>
        <v>1350</v>
      </c>
      <c r="BK145" s="8" t="n">
        <f aca="false">BK144*$D$26</f>
        <v>1350</v>
      </c>
    </row>
    <row r="146" customFormat="false" ht="15" hidden="false" customHeight="false" outlineLevel="0" collapsed="false">
      <c r="A146" s="0" t="s">
        <v>187</v>
      </c>
      <c r="C146" s="0" t="n">
        <v>0</v>
      </c>
      <c r="D146" s="51" t="n">
        <f aca="false">D145*$D$27</f>
        <v>0.675</v>
      </c>
      <c r="E146" s="51" t="n">
        <f aca="false">E145*$D$27</f>
        <v>0.7425</v>
      </c>
      <c r="F146" s="51" t="n">
        <f aca="false">F145*$D$27</f>
        <v>0.81675</v>
      </c>
      <c r="G146" s="51" t="n">
        <f aca="false">G145*$D$27</f>
        <v>0.898425000000001</v>
      </c>
      <c r="H146" s="51" t="n">
        <f aca="false">H145*$D$27</f>
        <v>0.9882675</v>
      </c>
      <c r="I146" s="51" t="n">
        <f aca="false">I145*$D$27</f>
        <v>1.08709425</v>
      </c>
      <c r="J146" s="51" t="n">
        <f aca="false">J145*$D$27</f>
        <v>1.195803675</v>
      </c>
      <c r="K146" s="51" t="n">
        <f aca="false">K145*$D$27</f>
        <v>1.3153840425</v>
      </c>
      <c r="L146" s="51" t="n">
        <f aca="false">L145*$D$27</f>
        <v>1.44692244675</v>
      </c>
      <c r="M146" s="51" t="n">
        <f aca="false">M145*$D$27</f>
        <v>1.591614691425</v>
      </c>
      <c r="N146" s="51" t="n">
        <f aca="false">N145*$D$27</f>
        <v>1.7507761605675</v>
      </c>
      <c r="O146" s="51" t="n">
        <f aca="false">O145*$D$27</f>
        <v>1.92585377662425</v>
      </c>
      <c r="P146" s="51" t="n">
        <f aca="false">P145*$D$27</f>
        <v>2.11843915428668</v>
      </c>
      <c r="Q146" s="51" t="n">
        <f aca="false">Q145*$D$27</f>
        <v>2.33028306971535</v>
      </c>
      <c r="R146" s="51" t="n">
        <f aca="false">R145*$D$27</f>
        <v>2.56331137668688</v>
      </c>
      <c r="S146" s="51" t="n">
        <f aca="false">S145*$D$27</f>
        <v>2.81964251435557</v>
      </c>
      <c r="T146" s="51" t="n">
        <f aca="false">T145*$D$27</f>
        <v>3.10160676579113</v>
      </c>
      <c r="U146" s="51" t="n">
        <f aca="false">U145*$D$27</f>
        <v>3.41176744237024</v>
      </c>
      <c r="V146" s="51" t="n">
        <f aca="false">V145*$D$27</f>
        <v>3.75294418660726</v>
      </c>
      <c r="W146" s="51" t="n">
        <f aca="false">W145*$D$27</f>
        <v>4.12823860526799</v>
      </c>
      <c r="X146" s="51" t="n">
        <f aca="false">X145*$D$27</f>
        <v>4.54106246579479</v>
      </c>
      <c r="Y146" s="51" t="n">
        <f aca="false">Y145*$D$27</f>
        <v>4.99516871237427</v>
      </c>
      <c r="Z146" s="51" t="n">
        <f aca="false">Z145*$D$27</f>
        <v>5.49468558361169</v>
      </c>
      <c r="AA146" s="51" t="n">
        <f aca="false">AA145*$D$27</f>
        <v>6.04415414197287</v>
      </c>
      <c r="AB146" s="51" t="n">
        <f aca="false">AB145*$D$27</f>
        <v>6.64856955617015</v>
      </c>
      <c r="AC146" s="51" t="n">
        <f aca="false">AC145*$D$27</f>
        <v>7.31342651178717</v>
      </c>
      <c r="AD146" s="51" t="n">
        <f aca="false">AD145*$D$27</f>
        <v>8.04476916296588</v>
      </c>
      <c r="AE146" s="51" t="n">
        <f aca="false">AE145*$D$27</f>
        <v>8.84924607926248</v>
      </c>
      <c r="AF146" s="51" t="n">
        <f aca="false">AF145*$D$27</f>
        <v>9.73417068718872</v>
      </c>
      <c r="AG146" s="51" t="n">
        <f aca="false">AG145*$D$27</f>
        <v>10.7075877559076</v>
      </c>
      <c r="AH146" s="51" t="n">
        <f aca="false">AH145*$D$27</f>
        <v>11.7783465314984</v>
      </c>
      <c r="AI146" s="51" t="n">
        <f aca="false">AI145*$D$27</f>
        <v>12.9561811846482</v>
      </c>
      <c r="AJ146" s="51" t="n">
        <f aca="false">AJ145*$D$27</f>
        <v>14.251799303113</v>
      </c>
      <c r="AK146" s="51" t="n">
        <f aca="false">AK145*$D$27</f>
        <v>15.6769792334243</v>
      </c>
      <c r="AL146" s="51" t="n">
        <f aca="false">AL145*$D$27</f>
        <v>17.2446771567667</v>
      </c>
      <c r="AM146" s="51" t="n">
        <f aca="false">AM145*$D$27</f>
        <v>18.9691448724434</v>
      </c>
      <c r="AN146" s="51" t="n">
        <f aca="false">AN145*$D$27</f>
        <v>20.8660593596878</v>
      </c>
      <c r="AO146" s="51" t="n">
        <f aca="false">AO145*$D$27</f>
        <v>22.9526652956565</v>
      </c>
      <c r="AP146" s="51" t="n">
        <f aca="false">AP145*$D$27</f>
        <v>25.2479318252222</v>
      </c>
      <c r="AQ146" s="51" t="n">
        <f aca="false">AQ145*$D$27</f>
        <v>27.7727250077444</v>
      </c>
      <c r="AR146" s="51" t="n">
        <f aca="false">AR145*$D$27</f>
        <v>30.5499975085189</v>
      </c>
      <c r="AS146" s="51" t="n">
        <f aca="false">AS145*$D$27</f>
        <v>33.6049972593708</v>
      </c>
      <c r="AT146" s="51" t="n">
        <f aca="false">AT145*$D$27</f>
        <v>36.9654969853078</v>
      </c>
      <c r="AU146" s="51" t="n">
        <f aca="false">AU145*$D$27</f>
        <v>40.6620466838386</v>
      </c>
      <c r="AV146" s="51" t="n">
        <f aca="false">AV145*$D$27</f>
        <v>44.7282513522225</v>
      </c>
      <c r="AW146" s="51" t="n">
        <f aca="false">AW145*$D$27</f>
        <v>49.2010764874448</v>
      </c>
      <c r="AX146" s="51" t="n">
        <f aca="false">AX145*$D$27</f>
        <v>54</v>
      </c>
      <c r="AY146" s="51" t="n">
        <f aca="false">AY145*$D$27</f>
        <v>54</v>
      </c>
      <c r="AZ146" s="51" t="n">
        <f aca="false">AZ145*$D$27</f>
        <v>54</v>
      </c>
      <c r="BA146" s="51" t="n">
        <f aca="false">BA145*$D$27</f>
        <v>54</v>
      </c>
      <c r="BB146" s="51" t="n">
        <f aca="false">BB145*$D$27</f>
        <v>54</v>
      </c>
      <c r="BC146" s="51" t="n">
        <f aca="false">BC145*$D$27</f>
        <v>54</v>
      </c>
      <c r="BD146" s="51" t="n">
        <f aca="false">BD145*$D$27</f>
        <v>54</v>
      </c>
      <c r="BE146" s="51" t="n">
        <f aca="false">BE145*$D$27</f>
        <v>54</v>
      </c>
      <c r="BF146" s="51" t="n">
        <f aca="false">BF145*$D$27</f>
        <v>54</v>
      </c>
      <c r="BG146" s="51" t="n">
        <f aca="false">BG145*$D$27</f>
        <v>54</v>
      </c>
      <c r="BH146" s="51" t="n">
        <f aca="false">BH145*$D$27</f>
        <v>54</v>
      </c>
      <c r="BI146" s="51" t="n">
        <f aca="false">BI145*$D$27</f>
        <v>54</v>
      </c>
      <c r="BJ146" s="51" t="n">
        <f aca="false">BJ145*$D$27</f>
        <v>54</v>
      </c>
      <c r="BK146" s="51" t="n">
        <f aca="false">BK145*$D$27</f>
        <v>54</v>
      </c>
    </row>
    <row r="147" customFormat="false" ht="15" hidden="false" customHeight="false" outlineLevel="0" collapsed="false">
      <c r="A147" s="0" t="s">
        <v>188</v>
      </c>
      <c r="D147" s="51" t="n">
        <f aca="false">D146*$D$28</f>
        <v>0.37125</v>
      </c>
      <c r="E147" s="51" t="n">
        <f aca="false">E146*$D$28</f>
        <v>0.408375</v>
      </c>
      <c r="F147" s="51" t="n">
        <f aca="false">F146*$D$28</f>
        <v>0.4492125</v>
      </c>
      <c r="G147" s="51" t="n">
        <f aca="false">G146*$D$28</f>
        <v>0.49413375</v>
      </c>
      <c r="H147" s="51" t="n">
        <f aca="false">H146*$D$28</f>
        <v>0.543547125</v>
      </c>
      <c r="I147" s="51" t="n">
        <f aca="false">I146*$D$28</f>
        <v>0.5979018375</v>
      </c>
      <c r="J147" s="51" t="n">
        <f aca="false">J146*$D$28</f>
        <v>0.657692021250001</v>
      </c>
      <c r="K147" s="51" t="n">
        <f aca="false">K146*$D$28</f>
        <v>0.723461223375001</v>
      </c>
      <c r="L147" s="51" t="n">
        <f aca="false">L146*$D$28</f>
        <v>0.795807345712501</v>
      </c>
      <c r="M147" s="51" t="n">
        <f aca="false">M146*$D$28</f>
        <v>0.875388080283751</v>
      </c>
      <c r="N147" s="51" t="n">
        <f aca="false">N146*$D$28</f>
        <v>0.962926888312126</v>
      </c>
      <c r="O147" s="51" t="n">
        <f aca="false">O146*$D$28</f>
        <v>1.05921957714334</v>
      </c>
      <c r="P147" s="51" t="n">
        <f aca="false">P146*$D$28</f>
        <v>1.16514153485767</v>
      </c>
      <c r="Q147" s="51" t="n">
        <f aca="false">Q146*$D$28</f>
        <v>1.28165568834344</v>
      </c>
      <c r="R147" s="51" t="n">
        <f aca="false">R146*$D$28</f>
        <v>1.40982125717778</v>
      </c>
      <c r="S147" s="51" t="n">
        <f aca="false">S146*$D$28</f>
        <v>1.55080338289556</v>
      </c>
      <c r="T147" s="51" t="n">
        <f aca="false">T146*$D$28</f>
        <v>1.70588372118512</v>
      </c>
      <c r="U147" s="51" t="n">
        <f aca="false">U146*$D$28</f>
        <v>1.87647209330363</v>
      </c>
      <c r="V147" s="51" t="n">
        <f aca="false">V146*$D$28</f>
        <v>2.06411930263399</v>
      </c>
      <c r="W147" s="51" t="n">
        <f aca="false">W146*$D$28</f>
        <v>2.27053123289739</v>
      </c>
      <c r="X147" s="51" t="n">
        <f aca="false">X146*$D$28</f>
        <v>2.49758435618713</v>
      </c>
      <c r="Y147" s="51" t="n">
        <f aca="false">Y146*$D$28</f>
        <v>2.74734279180585</v>
      </c>
      <c r="Z147" s="51" t="n">
        <f aca="false">Z146*$D$28</f>
        <v>3.02207707098643</v>
      </c>
      <c r="AA147" s="51" t="n">
        <f aca="false">AA146*$D$28</f>
        <v>3.32428477808508</v>
      </c>
      <c r="AB147" s="51" t="n">
        <f aca="false">AB146*$D$28</f>
        <v>3.65671325589358</v>
      </c>
      <c r="AC147" s="51" t="n">
        <f aca="false">AC146*$D$28</f>
        <v>4.02238458148294</v>
      </c>
      <c r="AD147" s="51" t="n">
        <f aca="false">AD146*$D$28</f>
        <v>4.42462303963124</v>
      </c>
      <c r="AE147" s="51" t="n">
        <f aca="false">AE146*$D$28</f>
        <v>4.86708534359436</v>
      </c>
      <c r="AF147" s="51" t="n">
        <f aca="false">AF146*$D$28</f>
        <v>5.3537938779538</v>
      </c>
      <c r="AG147" s="51" t="n">
        <f aca="false">AG146*$D$28</f>
        <v>5.88917326574918</v>
      </c>
      <c r="AH147" s="51" t="n">
        <f aca="false">AH146*$D$28</f>
        <v>6.4780905923241</v>
      </c>
      <c r="AI147" s="51" t="n">
        <f aca="false">AI146*$D$28</f>
        <v>7.1258996515565</v>
      </c>
      <c r="AJ147" s="51" t="n">
        <f aca="false">AJ146*$D$28</f>
        <v>7.83848961671216</v>
      </c>
      <c r="AK147" s="51" t="n">
        <f aca="false">AK146*$D$28</f>
        <v>8.62233857838337</v>
      </c>
      <c r="AL147" s="51" t="n">
        <f aca="false">AL146*$D$28</f>
        <v>9.48457243622171</v>
      </c>
      <c r="AM147" s="51" t="n">
        <f aca="false">AM146*$D$28</f>
        <v>10.4330296798439</v>
      </c>
      <c r="AN147" s="51" t="n">
        <f aca="false">AN146*$D$28</f>
        <v>11.4763326478283</v>
      </c>
      <c r="AO147" s="51" t="n">
        <f aca="false">AO146*$D$28</f>
        <v>12.6239659126111</v>
      </c>
      <c r="AP147" s="51" t="n">
        <f aca="false">AP146*$D$28</f>
        <v>13.8863625038722</v>
      </c>
      <c r="AQ147" s="51" t="n">
        <f aca="false">AQ146*$D$28</f>
        <v>15.2749987542594</v>
      </c>
      <c r="AR147" s="51" t="n">
        <f aca="false">AR146*$D$28</f>
        <v>16.8024986296854</v>
      </c>
      <c r="AS147" s="51" t="n">
        <f aca="false">AS146*$D$28</f>
        <v>18.4827484926539</v>
      </c>
      <c r="AT147" s="51" t="n">
        <f aca="false">AT146*$D$28</f>
        <v>20.3310233419193</v>
      </c>
      <c r="AU147" s="51" t="n">
        <f aca="false">AU146*$D$28</f>
        <v>22.3641256761112</v>
      </c>
      <c r="AV147" s="51" t="n">
        <f aca="false">AV146*$D$28</f>
        <v>24.6005382437224</v>
      </c>
      <c r="AW147" s="51" t="n">
        <f aca="false">AW146*$D$28</f>
        <v>27.0605920680946</v>
      </c>
      <c r="AX147" s="51" t="n">
        <f aca="false">AX146*$D$28</f>
        <v>29.7</v>
      </c>
      <c r="AY147" s="51" t="n">
        <f aca="false">AY146*$D$28</f>
        <v>29.7</v>
      </c>
      <c r="AZ147" s="51" t="n">
        <f aca="false">AZ146*$D$28</f>
        <v>29.7</v>
      </c>
      <c r="BA147" s="51" t="n">
        <f aca="false">BA146*$D$28</f>
        <v>29.7</v>
      </c>
      <c r="BB147" s="51" t="n">
        <f aca="false">BB146*$D$28</f>
        <v>29.7</v>
      </c>
      <c r="BC147" s="51" t="n">
        <f aca="false">BC146*$D$28</f>
        <v>29.7</v>
      </c>
      <c r="BD147" s="51" t="n">
        <f aca="false">BD146*$D$28</f>
        <v>29.7</v>
      </c>
      <c r="BE147" s="51" t="n">
        <f aca="false">BE146*$D$28</f>
        <v>29.7</v>
      </c>
      <c r="BF147" s="51" t="n">
        <f aca="false">BF146*$D$28</f>
        <v>29.7</v>
      </c>
      <c r="BG147" s="51" t="n">
        <f aca="false">BG146*$D$28</f>
        <v>29.7</v>
      </c>
      <c r="BH147" s="51" t="n">
        <f aca="false">BH146*$D$28</f>
        <v>29.7</v>
      </c>
      <c r="BI147" s="51" t="n">
        <f aca="false">BI146*$D$28</f>
        <v>29.7</v>
      </c>
      <c r="BJ147" s="51" t="n">
        <f aca="false">BJ146*$D$28</f>
        <v>29.7</v>
      </c>
      <c r="BK147" s="51" t="n">
        <f aca="false">BK146*$D$28</f>
        <v>29.7</v>
      </c>
    </row>
    <row r="148" customFormat="false" ht="15" hidden="false" customHeight="false" outlineLevel="0" collapsed="false">
      <c r="A148" s="0" t="s">
        <v>189</v>
      </c>
      <c r="D148" s="51" t="n">
        <f aca="false">D146*$D$29</f>
        <v>0.23625</v>
      </c>
      <c r="E148" s="51" t="n">
        <f aca="false">E146*$D$29</f>
        <v>0.259875</v>
      </c>
      <c r="F148" s="51" t="n">
        <f aca="false">F146*$D$29</f>
        <v>0.2858625</v>
      </c>
      <c r="G148" s="51" t="n">
        <f aca="false">G146*$D$29</f>
        <v>0.31444875</v>
      </c>
      <c r="H148" s="51" t="n">
        <f aca="false">H146*$D$29</f>
        <v>0.345893625</v>
      </c>
      <c r="I148" s="51" t="n">
        <f aca="false">I146*$D$29</f>
        <v>0.3804829875</v>
      </c>
      <c r="J148" s="51" t="n">
        <f aca="false">J146*$D$29</f>
        <v>0.41853128625</v>
      </c>
      <c r="K148" s="51" t="n">
        <f aca="false">K146*$D$29</f>
        <v>0.460384414875</v>
      </c>
      <c r="L148" s="51" t="n">
        <f aca="false">L146*$D$29</f>
        <v>0.5064228563625</v>
      </c>
      <c r="M148" s="51" t="n">
        <f aca="false">M146*$D$29</f>
        <v>0.557065141998751</v>
      </c>
      <c r="N148" s="51" t="n">
        <f aca="false">N146*$D$29</f>
        <v>0.612771656198626</v>
      </c>
      <c r="O148" s="51" t="n">
        <f aca="false">O146*$D$29</f>
        <v>0.674048821818488</v>
      </c>
      <c r="P148" s="51" t="n">
        <f aca="false">P146*$D$29</f>
        <v>0.741453704000337</v>
      </c>
      <c r="Q148" s="51" t="n">
        <f aca="false">Q146*$D$29</f>
        <v>0.815599074400371</v>
      </c>
      <c r="R148" s="51" t="n">
        <f aca="false">R146*$D$29</f>
        <v>0.897158981840408</v>
      </c>
      <c r="S148" s="51" t="n">
        <f aca="false">S146*$D$29</f>
        <v>0.986874880024449</v>
      </c>
      <c r="T148" s="51" t="n">
        <f aca="false">T146*$D$29</f>
        <v>1.08556236802689</v>
      </c>
      <c r="U148" s="51" t="n">
        <f aca="false">U146*$D$29</f>
        <v>1.19411860482958</v>
      </c>
      <c r="V148" s="51" t="n">
        <f aca="false">V146*$D$29</f>
        <v>1.31353046531254</v>
      </c>
      <c r="W148" s="51" t="n">
        <f aca="false">W146*$D$29</f>
        <v>1.4448835118438</v>
      </c>
      <c r="X148" s="51" t="n">
        <f aca="false">X146*$D$29</f>
        <v>1.58937186302818</v>
      </c>
      <c r="Y148" s="51" t="n">
        <f aca="false">Y146*$D$29</f>
        <v>1.74830904933099</v>
      </c>
      <c r="Z148" s="51" t="n">
        <f aca="false">Z146*$D$29</f>
        <v>1.92313995426409</v>
      </c>
      <c r="AA148" s="51" t="n">
        <f aca="false">AA146*$D$29</f>
        <v>2.1154539496905</v>
      </c>
      <c r="AB148" s="51" t="n">
        <f aca="false">AB146*$D$29</f>
        <v>2.32699934465955</v>
      </c>
      <c r="AC148" s="51" t="n">
        <f aca="false">AC146*$D$29</f>
        <v>2.55969927912551</v>
      </c>
      <c r="AD148" s="51" t="n">
        <f aca="false">AD146*$D$29</f>
        <v>2.81566920703806</v>
      </c>
      <c r="AE148" s="51" t="n">
        <f aca="false">AE146*$D$29</f>
        <v>3.09723612774187</v>
      </c>
      <c r="AF148" s="51" t="n">
        <f aca="false">AF146*$D$29</f>
        <v>3.40695974051605</v>
      </c>
      <c r="AG148" s="51" t="n">
        <f aca="false">AG146*$D$29</f>
        <v>3.74765571456766</v>
      </c>
      <c r="AH148" s="51" t="n">
        <f aca="false">AH146*$D$29</f>
        <v>4.12242128602442</v>
      </c>
      <c r="AI148" s="51" t="n">
        <f aca="false">AI146*$D$29</f>
        <v>4.53466341462687</v>
      </c>
      <c r="AJ148" s="51" t="n">
        <f aca="false">AJ146*$D$29</f>
        <v>4.98812975608955</v>
      </c>
      <c r="AK148" s="51" t="n">
        <f aca="false">AK146*$D$29</f>
        <v>5.48694273169851</v>
      </c>
      <c r="AL148" s="51" t="n">
        <f aca="false">AL146*$D$29</f>
        <v>6.03563700486836</v>
      </c>
      <c r="AM148" s="51" t="n">
        <f aca="false">AM146*$D$29</f>
        <v>6.6392007053552</v>
      </c>
      <c r="AN148" s="51" t="n">
        <f aca="false">AN146*$D$29</f>
        <v>7.30312077589072</v>
      </c>
      <c r="AO148" s="51" t="n">
        <f aca="false">AO146*$D$29</f>
        <v>8.03343285347979</v>
      </c>
      <c r="AP148" s="51" t="n">
        <f aca="false">AP146*$D$29</f>
        <v>8.83677613882777</v>
      </c>
      <c r="AQ148" s="51" t="n">
        <f aca="false">AQ146*$D$29</f>
        <v>9.72045375271055</v>
      </c>
      <c r="AR148" s="51" t="n">
        <f aca="false">AR146*$D$29</f>
        <v>10.6924991279816</v>
      </c>
      <c r="AS148" s="51" t="n">
        <f aca="false">AS146*$D$29</f>
        <v>11.7617490407798</v>
      </c>
      <c r="AT148" s="51" t="n">
        <f aca="false">AT146*$D$29</f>
        <v>12.9379239448577</v>
      </c>
      <c r="AU148" s="51" t="n">
        <f aca="false">AU146*$D$29</f>
        <v>14.2317163393435</v>
      </c>
      <c r="AV148" s="51" t="n">
        <f aca="false">AV146*$D$29</f>
        <v>15.6548879732779</v>
      </c>
      <c r="AW148" s="51" t="n">
        <f aca="false">AW146*$D$29</f>
        <v>17.2203767706057</v>
      </c>
      <c r="AX148" s="51" t="n">
        <f aca="false">AX146*$D$29</f>
        <v>18.9</v>
      </c>
      <c r="AY148" s="51" t="n">
        <f aca="false">AY146*$D$29</f>
        <v>18.9</v>
      </c>
      <c r="AZ148" s="51" t="n">
        <f aca="false">AZ146*$D$29</f>
        <v>18.9</v>
      </c>
      <c r="BA148" s="51" t="n">
        <f aca="false">BA146*$D$29</f>
        <v>18.9</v>
      </c>
      <c r="BB148" s="51" t="n">
        <f aca="false">BB146*$D$29</f>
        <v>18.9</v>
      </c>
      <c r="BC148" s="51" t="n">
        <f aca="false">BC146*$D$29</f>
        <v>18.9</v>
      </c>
      <c r="BD148" s="51" t="n">
        <f aca="false">BD146*$D$29</f>
        <v>18.9</v>
      </c>
      <c r="BE148" s="51" t="n">
        <f aca="false">BE146*$D$29</f>
        <v>18.9</v>
      </c>
      <c r="BF148" s="51" t="n">
        <f aca="false">BF146*$D$29</f>
        <v>18.9</v>
      </c>
      <c r="BG148" s="51" t="n">
        <f aca="false">BG146*$D$29</f>
        <v>18.9</v>
      </c>
      <c r="BH148" s="51" t="n">
        <f aca="false">BH146*$D$29</f>
        <v>18.9</v>
      </c>
      <c r="BI148" s="51" t="n">
        <f aca="false">BI146*$D$29</f>
        <v>18.9</v>
      </c>
      <c r="BJ148" s="51" t="n">
        <f aca="false">BJ146*$D$29</f>
        <v>18.9</v>
      </c>
      <c r="BK148" s="51" t="n">
        <f aca="false">BK146*$D$29</f>
        <v>18.9</v>
      </c>
    </row>
    <row r="149" customFormat="false" ht="15" hidden="false" customHeight="false" outlineLevel="0" collapsed="false">
      <c r="A149" s="0" t="s">
        <v>190</v>
      </c>
      <c r="D149" s="51" t="n">
        <f aca="false">D146*$D$30</f>
        <v>0.0675</v>
      </c>
      <c r="E149" s="51" t="n">
        <f aca="false">E146*$D$30</f>
        <v>0.07425</v>
      </c>
      <c r="F149" s="51" t="n">
        <f aca="false">F146*$D$30</f>
        <v>0.081675</v>
      </c>
      <c r="G149" s="51" t="n">
        <f aca="false">G146*$D$30</f>
        <v>0.0898425</v>
      </c>
      <c r="H149" s="51" t="n">
        <f aca="false">H146*$D$30</f>
        <v>0.09882675</v>
      </c>
      <c r="I149" s="51" t="n">
        <f aca="false">I146*$D$30</f>
        <v>0.108709425</v>
      </c>
      <c r="J149" s="51" t="n">
        <f aca="false">J146*$D$30</f>
        <v>0.1195803675</v>
      </c>
      <c r="K149" s="51" t="n">
        <f aca="false">K146*$D$30</f>
        <v>0.13153840425</v>
      </c>
      <c r="L149" s="51" t="n">
        <f aca="false">L146*$D$30</f>
        <v>0.144692244675</v>
      </c>
      <c r="M149" s="51" t="n">
        <f aca="false">M146*$D$30</f>
        <v>0.1591614691425</v>
      </c>
      <c r="N149" s="51" t="n">
        <f aca="false">N146*$D$30</f>
        <v>0.17507761605675</v>
      </c>
      <c r="O149" s="51" t="n">
        <f aca="false">O146*$D$30</f>
        <v>0.192585377662425</v>
      </c>
      <c r="P149" s="51" t="n">
        <f aca="false">P146*$D$30</f>
        <v>0.211843915428668</v>
      </c>
      <c r="Q149" s="51" t="n">
        <f aca="false">Q146*$D$30</f>
        <v>0.233028306971535</v>
      </c>
      <c r="R149" s="51" t="n">
        <f aca="false">R146*$D$30</f>
        <v>0.256331137668688</v>
      </c>
      <c r="S149" s="51" t="n">
        <f aca="false">S146*$D$30</f>
        <v>0.281964251435557</v>
      </c>
      <c r="T149" s="51" t="n">
        <f aca="false">T146*$D$30</f>
        <v>0.310160676579112</v>
      </c>
      <c r="U149" s="51" t="n">
        <f aca="false">U146*$D$30</f>
        <v>0.341176744237024</v>
      </c>
      <c r="V149" s="51" t="n">
        <f aca="false">V146*$D$30</f>
        <v>0.375294418660726</v>
      </c>
      <c r="W149" s="51" t="n">
        <f aca="false">W146*$D$30</f>
        <v>0.412823860526799</v>
      </c>
      <c r="X149" s="51" t="n">
        <f aca="false">X146*$D$30</f>
        <v>0.454106246579479</v>
      </c>
      <c r="Y149" s="51" t="n">
        <f aca="false">Y146*$D$30</f>
        <v>0.499516871237427</v>
      </c>
      <c r="Z149" s="51" t="n">
        <f aca="false">Z146*$D$30</f>
        <v>0.549468558361169</v>
      </c>
      <c r="AA149" s="51" t="n">
        <f aca="false">AA146*$D$30</f>
        <v>0.604415414197286</v>
      </c>
      <c r="AB149" s="51" t="n">
        <f aca="false">AB146*$D$30</f>
        <v>0.664856955617015</v>
      </c>
      <c r="AC149" s="51" t="n">
        <f aca="false">AC146*$D$30</f>
        <v>0.731342651178717</v>
      </c>
      <c r="AD149" s="51" t="n">
        <f aca="false">AD146*$D$30</f>
        <v>0.804476916296588</v>
      </c>
      <c r="AE149" s="51" t="n">
        <f aca="false">AE146*$D$30</f>
        <v>0.884924607926247</v>
      </c>
      <c r="AF149" s="51" t="n">
        <f aca="false">AF146*$D$30</f>
        <v>0.973417068718872</v>
      </c>
      <c r="AG149" s="51" t="n">
        <f aca="false">AG146*$D$30</f>
        <v>1.07075877559076</v>
      </c>
      <c r="AH149" s="51" t="n">
        <f aca="false">AH146*$D$30</f>
        <v>1.17783465314984</v>
      </c>
      <c r="AI149" s="51" t="n">
        <f aca="false">AI146*$D$30</f>
        <v>1.29561811846482</v>
      </c>
      <c r="AJ149" s="51" t="n">
        <f aca="false">AJ146*$D$30</f>
        <v>1.4251799303113</v>
      </c>
      <c r="AK149" s="51" t="n">
        <f aca="false">AK146*$D$30</f>
        <v>1.56769792334243</v>
      </c>
      <c r="AL149" s="51" t="n">
        <f aca="false">AL146*$D$30</f>
        <v>1.72446771567667</v>
      </c>
      <c r="AM149" s="51" t="n">
        <f aca="false">AM146*$D$30</f>
        <v>1.89691448724434</v>
      </c>
      <c r="AN149" s="51" t="n">
        <f aca="false">AN146*$D$30</f>
        <v>2.08660593596878</v>
      </c>
      <c r="AO149" s="51" t="n">
        <f aca="false">AO146*$D$30</f>
        <v>2.29526652956565</v>
      </c>
      <c r="AP149" s="51" t="n">
        <f aca="false">AP146*$D$30</f>
        <v>2.52479318252222</v>
      </c>
      <c r="AQ149" s="51" t="n">
        <f aca="false">AQ146*$D$30</f>
        <v>2.77727250077444</v>
      </c>
      <c r="AR149" s="51" t="n">
        <f aca="false">AR146*$D$30</f>
        <v>3.05499975085189</v>
      </c>
      <c r="AS149" s="51" t="n">
        <f aca="false">AS146*$D$30</f>
        <v>3.36049972593708</v>
      </c>
      <c r="AT149" s="51" t="n">
        <f aca="false">AT146*$D$30</f>
        <v>3.69654969853078</v>
      </c>
      <c r="AU149" s="51" t="n">
        <f aca="false">AU146*$D$30</f>
        <v>4.06620466838386</v>
      </c>
      <c r="AV149" s="51" t="n">
        <f aca="false">AV146*$D$30</f>
        <v>4.47282513522225</v>
      </c>
      <c r="AW149" s="51" t="n">
        <f aca="false">AW146*$D$30</f>
        <v>4.92010764874447</v>
      </c>
      <c r="AX149" s="51" t="n">
        <f aca="false">AX146*$D$30</f>
        <v>5.4</v>
      </c>
      <c r="AY149" s="51" t="n">
        <f aca="false">AY146*$D$30</f>
        <v>5.4</v>
      </c>
      <c r="AZ149" s="51" t="n">
        <f aca="false">AZ146*$D$30</f>
        <v>5.4</v>
      </c>
      <c r="BA149" s="51" t="n">
        <f aca="false">BA146*$D$30</f>
        <v>5.4</v>
      </c>
      <c r="BB149" s="51" t="n">
        <f aca="false">BB146*$D$30</f>
        <v>5.4</v>
      </c>
      <c r="BC149" s="51" t="n">
        <f aca="false">BC146*$D$30</f>
        <v>5.4</v>
      </c>
      <c r="BD149" s="51" t="n">
        <f aca="false">BD146*$D$30</f>
        <v>5.4</v>
      </c>
      <c r="BE149" s="51" t="n">
        <f aca="false">BE146*$D$30</f>
        <v>5.4</v>
      </c>
      <c r="BF149" s="51" t="n">
        <f aca="false">BF146*$D$30</f>
        <v>5.4</v>
      </c>
      <c r="BG149" s="51" t="n">
        <f aca="false">BG146*$D$30</f>
        <v>5.4</v>
      </c>
      <c r="BH149" s="51" t="n">
        <f aca="false">BH146*$D$30</f>
        <v>5.4</v>
      </c>
      <c r="BI149" s="51" t="n">
        <f aca="false">BI146*$D$30</f>
        <v>5.4</v>
      </c>
      <c r="BJ149" s="51" t="n">
        <f aca="false">BJ146*$D$30</f>
        <v>5.4</v>
      </c>
      <c r="BK149" s="51" t="n">
        <f aca="false">BK146*$D$30</f>
        <v>5.4</v>
      </c>
    </row>
    <row r="150" customFormat="false" ht="15" hidden="false" customHeight="false" outlineLevel="0" collapsed="false">
      <c r="A150" s="0" t="s">
        <v>191</v>
      </c>
      <c r="C150" s="0" t="n">
        <v>0</v>
      </c>
      <c r="D150" s="8" t="n">
        <f aca="false">C150*(1-$D$35)+D147</f>
        <v>0.37125</v>
      </c>
      <c r="E150" s="8" t="n">
        <f aca="false">D150*(1-$D$35)+E147</f>
        <v>0.7462125</v>
      </c>
      <c r="F150" s="8" t="n">
        <f aca="false">E150*(1-$D$35)+F147</f>
        <v>1.128265875</v>
      </c>
      <c r="G150" s="8" t="n">
        <f aca="false">F150*(1-$D$35)+G147</f>
        <v>1.52085569625</v>
      </c>
      <c r="H150" s="8" t="n">
        <f aca="false">G150*(1-$D$35)+H147</f>
        <v>1.9275258085875</v>
      </c>
      <c r="I150" s="8" t="n">
        <f aca="false">H150*(1-$D$35)+I147</f>
        <v>2.35195032331463</v>
      </c>
      <c r="J150" s="8" t="n">
        <f aca="false">I150*(1-$D$35)+J147</f>
        <v>2.79796681546631</v>
      </c>
      <c r="K150" s="8" t="n">
        <f aca="false">J150*(1-$D$35)+K147</f>
        <v>3.26961102544934</v>
      </c>
      <c r="L150" s="8" t="n">
        <f aca="false">K150*(1-$D$35)+L147</f>
        <v>3.7711533788714</v>
      </c>
      <c r="M150" s="8" t="n">
        <f aca="false">L150*(1-$D$35)+M147</f>
        <v>4.30713765505673</v>
      </c>
      <c r="N150" s="8" t="n">
        <f aca="false">M150*(1-$D$35)+N147</f>
        <v>4.88242215441375</v>
      </c>
      <c r="O150" s="8" t="n">
        <f aca="false">N150*(1-$D$35)+O147</f>
        <v>5.50222373765985</v>
      </c>
      <c r="P150" s="8" t="n">
        <f aca="false">O150*(1-$D$35)+P147</f>
        <v>6.17216513612814</v>
      </c>
      <c r="Q150" s="8" t="n">
        <f aca="false">P150*(1-$D$35)+Q147</f>
        <v>6.89832596222004</v>
      </c>
      <c r="R150" s="8" t="n">
        <f aca="false">Q150*(1-$D$35)+R147</f>
        <v>7.68729788279802</v>
      </c>
      <c r="S150" s="8" t="n">
        <f aca="false">R150*(1-$D$35)+S147</f>
        <v>8.54624445624177</v>
      </c>
      <c r="T150" s="8" t="n">
        <f aca="false">S150*(1-$D$35)+T147</f>
        <v>9.48296617636513</v>
      </c>
      <c r="U150" s="8" t="n">
        <f aca="false">T150*(1-$D$35)+U147</f>
        <v>10.5059713137959</v>
      </c>
      <c r="V150" s="8" t="n">
        <f aca="false">U150*(1-$D$35)+V147</f>
        <v>11.6245531981883</v>
      </c>
      <c r="W150" s="8" t="n">
        <f aca="false">V150*(1-$D$35)+W147</f>
        <v>12.8488746432487</v>
      </c>
      <c r="X150" s="8" t="n">
        <f aca="false">W150*(1-$D$35)+X147</f>
        <v>14.1900602815435</v>
      </c>
      <c r="Y150" s="8" t="n">
        <f aca="false">X150*(1-$D$35)+Y147</f>
        <v>15.6602976480104</v>
      </c>
      <c r="Z150" s="8" t="n">
        <f aca="false">Y150*(1-$D$35)+Z147</f>
        <v>17.2729479306759</v>
      </c>
      <c r="AA150" s="8" t="n">
        <f aca="false">Z150*(1-$D$35)+AA147</f>
        <v>19.0426673950001</v>
      </c>
      <c r="AB150" s="8" t="n">
        <f aca="false">AA150*(1-$D$35)+AB147</f>
        <v>20.9855405853437</v>
      </c>
      <c r="AC150" s="8" t="n">
        <f aca="false">AB150*(1-$D$35)+AC147</f>
        <v>23.1192265141457</v>
      </c>
      <c r="AD150" s="8" t="n">
        <f aca="false">AC150*(1-$D$35)+AD147</f>
        <v>25.4631191675038</v>
      </c>
      <c r="AE150" s="8" t="n">
        <f aca="false">AD150*(1-$D$35)+AE147</f>
        <v>28.0385237860229</v>
      </c>
      <c r="AF150" s="8" t="n">
        <f aca="false">AE150*(1-$D$35)+AF147</f>
        <v>30.8688505232346</v>
      </c>
      <c r="AG150" s="8" t="n">
        <f aca="false">AF150*(1-$D$35)+AG147</f>
        <v>33.9798272418927</v>
      </c>
      <c r="AH150" s="8" t="n">
        <f aca="false">AG150*(1-$D$35)+AH147</f>
        <v>37.3997333824464</v>
      </c>
      <c r="AI150" s="8" t="n">
        <f aca="false">AH150*(1-$D$35)+AI147</f>
        <v>41.1596570295827</v>
      </c>
      <c r="AJ150" s="8" t="n">
        <f aca="false">AI150*(1-$D$35)+AJ147</f>
        <v>45.2937775136325</v>
      </c>
      <c r="AK150" s="8" t="n">
        <f aca="false">AJ150*(1-$D$35)+AK147</f>
        <v>49.8396761157889</v>
      </c>
      <c r="AL150" s="8" t="n">
        <f aca="false">AK150*(1-$D$35)+AL147</f>
        <v>54.8386777015896</v>
      </c>
      <c r="AM150" s="8" t="n">
        <f aca="false">AL150*(1-$D$35)+AM147</f>
        <v>60.3362263882905</v>
      </c>
      <c r="AN150" s="8" t="n">
        <f aca="false">AM150*(1-$D$35)+AN147</f>
        <v>66.3822986611726</v>
      </c>
      <c r="AO150" s="8" t="n">
        <f aca="false">AN150*(1-$D$35)+AO147</f>
        <v>73.0318576942782</v>
      </c>
      <c r="AP150" s="8" t="n">
        <f aca="false">AO150*(1-$D$35)+AP147</f>
        <v>80.3453530056653</v>
      </c>
      <c r="AQ150" s="8" t="n">
        <f aca="false">AP150*(1-$D$35)+AQ147</f>
        <v>88.3892699894149</v>
      </c>
      <c r="AR150" s="8" t="n">
        <f aca="false">AQ150*(1-$D$35)+AR147</f>
        <v>97.236734320053</v>
      </c>
      <c r="AS150" s="8" t="n">
        <f aca="false">AR150*(1-$D$35)+AS147</f>
        <v>106.968176723902</v>
      </c>
      <c r="AT150" s="8" t="n">
        <f aca="false">AS150*(1-$D$35)+AT147</f>
        <v>117.67206416067</v>
      </c>
      <c r="AU150" s="8" t="n">
        <f aca="false">AT150*(1-$D$35)+AU147</f>
        <v>129.445704062321</v>
      </c>
      <c r="AV150" s="8" t="n">
        <f aca="false">AU150*(1-$D$35)+AV147</f>
        <v>142.396128940435</v>
      </c>
      <c r="AW150" s="8" t="n">
        <f aca="false">AV150*(1-$D$35)+AW147</f>
        <v>156.64106940389</v>
      </c>
      <c r="AX150" s="8" t="n">
        <f aca="false">AW150*(1-$D$35)+AX147</f>
        <v>172.24337315754</v>
      </c>
      <c r="AY150" s="8" t="n">
        <f aca="false">AX150*(1-$D$35)+AY147</f>
        <v>186.441469573361</v>
      </c>
      <c r="AZ150" s="8" t="n">
        <f aca="false">AY150*(1-$D$35)+AZ147</f>
        <v>199.361737311759</v>
      </c>
      <c r="BA150" s="8" t="n">
        <f aca="false">AZ150*(1-$D$35)+BA147</f>
        <v>211.119180953701</v>
      </c>
      <c r="BB150" s="8" t="n">
        <f aca="false">BA150*(1-$D$35)+BB147</f>
        <v>221.818454667868</v>
      </c>
      <c r="BC150" s="8" t="n">
        <f aca="false">BB150*(1-$D$35)+BC147</f>
        <v>231.55479374776</v>
      </c>
      <c r="BD150" s="8" t="n">
        <f aca="false">BC150*(1-$D$35)+BD147</f>
        <v>240.414862310461</v>
      </c>
      <c r="BE150" s="8" t="n">
        <f aca="false">BD150*(1-$D$35)+BE147</f>
        <v>248.47752470252</v>
      </c>
      <c r="BF150" s="8" t="n">
        <f aca="false">BE150*(1-$D$35)+BF147</f>
        <v>255.814547479293</v>
      </c>
      <c r="BG150" s="8" t="n">
        <f aca="false">BF150*(1-$D$35)+BG147</f>
        <v>262.491238206157</v>
      </c>
      <c r="BH150" s="8" t="n">
        <f aca="false">BG150*(1-$D$35)+BH147</f>
        <v>268.567026767602</v>
      </c>
      <c r="BI150" s="8" t="n">
        <f aca="false">BH150*(1-$D$35)+BI147</f>
        <v>274.095994358518</v>
      </c>
      <c r="BJ150" s="8" t="n">
        <f aca="false">BI150*(1-$D$35)+BJ147</f>
        <v>279.127354866252</v>
      </c>
      <c r="BK150" s="8" t="n">
        <f aca="false">BJ150*(1-$D$35)+BK147</f>
        <v>283.705892928289</v>
      </c>
    </row>
    <row r="151" customFormat="false" ht="15" hidden="false" customHeight="false" outlineLevel="0" collapsed="false">
      <c r="A151" s="0" t="s">
        <v>192</v>
      </c>
      <c r="C151" s="0" t="n">
        <v>0</v>
      </c>
      <c r="D151" s="8" t="n">
        <f aca="false">C151*(1-$D$36)+D148</f>
        <v>0.23625</v>
      </c>
      <c r="E151" s="8" t="n">
        <f aca="false">D151*(1-$D$36)+E148</f>
        <v>0.48195</v>
      </c>
      <c r="F151" s="8" t="n">
        <f aca="false">E151*(1-$D$36)+F148</f>
        <v>0.7388955</v>
      </c>
      <c r="G151" s="8" t="n">
        <f aca="false">F151*(1-$D$36)+G148</f>
        <v>1.00901052</v>
      </c>
      <c r="H151" s="8" t="n">
        <f aca="false">G151*(1-$D$36)+H148</f>
        <v>1.2943635138</v>
      </c>
      <c r="I151" s="8" t="n">
        <f aca="false">H151*(1-$D$36)+I148</f>
        <v>1.597184690472</v>
      </c>
      <c r="J151" s="8" t="n">
        <f aca="false">I151*(1-$D$36)+J148</f>
        <v>1.91988489529368</v>
      </c>
      <c r="K151" s="8" t="n">
        <f aca="false">J151*(1-$D$36)+K148</f>
        <v>2.26507621645106</v>
      </c>
      <c r="L151" s="8" t="n">
        <f aca="false">K151*(1-$D$36)+L148</f>
        <v>2.6355944998265</v>
      </c>
      <c r="M151" s="8" t="n">
        <f aca="false">L151*(1-$D$36)+M148</f>
        <v>3.03452397183566</v>
      </c>
      <c r="N151" s="8" t="n">
        <f aca="false">M151*(1-$D$36)+N148</f>
        <v>3.46522418972414</v>
      </c>
      <c r="O151" s="8" t="n">
        <f aca="false">N151*(1-$D$36)+O148</f>
        <v>3.93135956015918</v>
      </c>
      <c r="P151" s="8" t="n">
        <f aca="false">O151*(1-$D$36)+P148</f>
        <v>4.43693169054997</v>
      </c>
      <c r="Q151" s="8" t="n">
        <f aca="false">P151*(1-$D$36)+Q148</f>
        <v>4.98631486351734</v>
      </c>
      <c r="R151" s="8" t="n">
        <f aca="false">Q151*(1-$D$36)+R148</f>
        <v>5.58429495354671</v>
      </c>
      <c r="S151" s="8" t="n">
        <f aca="false">R151*(1-$D$36)+S148</f>
        <v>6.23611213635835</v>
      </c>
      <c r="T151" s="8" t="n">
        <f aca="false">S151*(1-$D$36)+T148</f>
        <v>6.94750777620375</v>
      </c>
      <c r="U151" s="8" t="n">
        <f aca="false">T151*(1-$D$36)+U148</f>
        <v>7.7247759144611</v>
      </c>
      <c r="V151" s="8" t="n">
        <f aca="false">U151*(1-$D$36)+V148</f>
        <v>8.57481982490598</v>
      </c>
      <c r="W151" s="8" t="n">
        <f aca="false">V151*(1-$D$36)+W148</f>
        <v>9.50521414725542</v>
      </c>
      <c r="X151" s="8" t="n">
        <f aca="false">W151*(1-$D$36)+X148</f>
        <v>10.5242731614483</v>
      </c>
      <c r="Y151" s="8" t="n">
        <f aca="false">X151*(1-$D$36)+Y148</f>
        <v>11.6411258210924</v>
      </c>
      <c r="Z151" s="8" t="n">
        <f aca="false">Y151*(1-$D$36)+Z148</f>
        <v>12.8657982260909</v>
      </c>
      <c r="AA151" s="8" t="n">
        <f aca="false">Z151*(1-$D$36)+AA148</f>
        <v>14.209304282216</v>
      </c>
      <c r="AB151" s="8" t="n">
        <f aca="false">AA151*(1-$D$36)+AB148</f>
        <v>15.6837453699426</v>
      </c>
      <c r="AC151" s="8" t="n">
        <f aca="false">AB151*(1-$D$36)+AC148</f>
        <v>17.3024199268715</v>
      </c>
      <c r="AD151" s="8" t="n">
        <f aca="false">AC151*(1-$D$36)+AD148</f>
        <v>19.0799439382973</v>
      </c>
      <c r="AE151" s="8" t="n">
        <f aca="false">AD151*(1-$D$36)+AE148</f>
        <v>21.0323834297413</v>
      </c>
      <c r="AF151" s="8" t="n">
        <f aca="false">AE151*(1-$D$36)+AF148</f>
        <v>23.1774001644729</v>
      </c>
      <c r="AG151" s="8" t="n">
        <f aca="false">AF151*(1-$D$36)+AG148</f>
        <v>25.5344118691722</v>
      </c>
      <c r="AH151" s="8" t="n">
        <f aca="false">AG151*(1-$D$36)+AH148</f>
        <v>28.1247684430463</v>
      </c>
      <c r="AI151" s="8" t="n">
        <f aca="false">AH151*(1-$D$36)+AI148</f>
        <v>30.9719457510903</v>
      </c>
      <c r="AJ151" s="8" t="n">
        <f aca="false">AI151*(1-$D$36)+AJ148</f>
        <v>34.1017587621145</v>
      </c>
      <c r="AK151" s="8" t="n">
        <f aca="false">AJ151*(1-$D$36)+AK148</f>
        <v>37.5425959680861</v>
      </c>
      <c r="AL151" s="8" t="n">
        <f aca="false">AK151*(1-$D$36)+AL148</f>
        <v>41.3256772148693</v>
      </c>
      <c r="AM151" s="8" t="n">
        <f aca="false">AL151*(1-$D$36)+AM148</f>
        <v>45.4853372873323</v>
      </c>
      <c r="AN151" s="8" t="n">
        <f aca="false">AM151*(1-$D$36)+AN148</f>
        <v>50.0593378259831</v>
      </c>
      <c r="AO151" s="8" t="n">
        <f aca="false">AN151*(1-$D$36)+AO148</f>
        <v>55.0892104099039</v>
      </c>
      <c r="AP151" s="8" t="n">
        <f aca="false">AO151*(1-$D$36)+AP148</f>
        <v>60.6206339241375</v>
      </c>
      <c r="AQ151" s="8" t="n">
        <f aca="false">AP151*(1-$D$36)+AQ148</f>
        <v>66.7038496413998</v>
      </c>
      <c r="AR151" s="8" t="n">
        <f aca="false">AQ151*(1-$D$36)+AR148</f>
        <v>73.3941177908974</v>
      </c>
      <c r="AS151" s="8" t="n">
        <f aca="false">AR151*(1-$D$36)+AS148</f>
        <v>80.7522197642233</v>
      </c>
      <c r="AT151" s="8" t="n">
        <f aca="false">AS151*(1-$D$36)+AT148</f>
        <v>88.8450105232276</v>
      </c>
      <c r="AU151" s="8" t="n">
        <f aca="false">AT151*(1-$D$36)+AU148</f>
        <v>97.7460262311775</v>
      </c>
      <c r="AV151" s="8" t="n">
        <f aca="false">AU151*(1-$D$36)+AV148</f>
        <v>107.536152630585</v>
      </c>
      <c r="AW151" s="8" t="n">
        <f aca="false">AV151*(1-$D$36)+AW148</f>
        <v>118.304360243355</v>
      </c>
      <c r="AX151" s="8" t="n">
        <f aca="false">AW151*(1-$D$36)+AX148</f>
        <v>130.106098628754</v>
      </c>
      <c r="AY151" s="8" t="n">
        <f aca="false">AX151*(1-$D$36)+AY148</f>
        <v>141.199732711029</v>
      </c>
      <c r="AZ151" s="8" t="n">
        <f aca="false">AY151*(1-$D$36)+AZ148</f>
        <v>151.627748748367</v>
      </c>
      <c r="BA151" s="8" t="n">
        <f aca="false">AZ151*(1-$D$36)+BA148</f>
        <v>161.430083823465</v>
      </c>
      <c r="BB151" s="8" t="n">
        <f aca="false">BA151*(1-$D$36)+BB148</f>
        <v>170.644278794057</v>
      </c>
      <c r="BC151" s="8" t="n">
        <f aca="false">BB151*(1-$D$36)+BC148</f>
        <v>179.305622066414</v>
      </c>
      <c r="BD151" s="8" t="n">
        <f aca="false">BC151*(1-$D$36)+BD148</f>
        <v>187.447284742429</v>
      </c>
      <c r="BE151" s="8" t="n">
        <f aca="false">BD151*(1-$D$36)+BE148</f>
        <v>195.100447657883</v>
      </c>
      <c r="BF151" s="8" t="n">
        <f aca="false">BE151*(1-$D$36)+BF148</f>
        <v>202.29442079841</v>
      </c>
      <c r="BG151" s="8" t="n">
        <f aca="false">BF151*(1-$D$36)+BG148</f>
        <v>209.056755550505</v>
      </c>
      <c r="BH151" s="8" t="n">
        <f aca="false">BG151*(1-$D$36)+BH148</f>
        <v>215.413350217475</v>
      </c>
      <c r="BI151" s="8" t="n">
        <f aca="false">BH151*(1-$D$36)+BI148</f>
        <v>221.388549204427</v>
      </c>
      <c r="BJ151" s="8" t="n">
        <f aca="false">BI151*(1-$D$36)+BJ148</f>
        <v>227.005236252161</v>
      </c>
      <c r="BK151" s="8" t="n">
        <f aca="false">BJ151*(1-$D$36)+BK148</f>
        <v>232.284922077031</v>
      </c>
    </row>
    <row r="152" customFormat="false" ht="15" hidden="false" customHeight="false" outlineLevel="0" collapsed="false">
      <c r="A152" s="0" t="s">
        <v>193</v>
      </c>
      <c r="C152" s="0" t="n">
        <v>0</v>
      </c>
      <c r="D152" s="8" t="n">
        <f aca="false">C152*(1-$D$37)+D149</f>
        <v>0.0675</v>
      </c>
      <c r="E152" s="8" t="n">
        <f aca="false">D152*(1-$D$37)+E149</f>
        <v>0.1387125</v>
      </c>
      <c r="F152" s="8" t="n">
        <f aca="false">E152*(1-$D$37)+F149</f>
        <v>0.2141454375</v>
      </c>
      <c r="G152" s="8" t="n">
        <f aca="false">F152*(1-$D$37)+G149</f>
        <v>0.2943513928125</v>
      </c>
      <c r="H152" s="8" t="n">
        <f aca="false">G152*(1-$D$37)+H149</f>
        <v>0.379932330135938</v>
      </c>
      <c r="I152" s="8" t="n">
        <f aca="false">H152*(1-$D$37)+I149</f>
        <v>0.47154480027982</v>
      </c>
      <c r="J152" s="8" t="n">
        <f aca="false">I152*(1-$D$37)+J149</f>
        <v>0.569905651767228</v>
      </c>
      <c r="K152" s="8" t="n">
        <f aca="false">J152*(1-$D$37)+K149</f>
        <v>0.675798301687703</v>
      </c>
      <c r="L152" s="8" t="n">
        <f aca="false">K152*(1-$D$37)+L149</f>
        <v>0.790079622786757</v>
      </c>
      <c r="M152" s="8" t="n">
        <f aca="false">L152*(1-$D$37)+M149</f>
        <v>0.913687508903853</v>
      </c>
      <c r="N152" s="8" t="n">
        <f aca="false">M152*(1-$D$37)+N149</f>
        <v>1.04764918705993</v>
      </c>
      <c r="O152" s="8" t="n">
        <f aca="false">N152*(1-$D$37)+O149</f>
        <v>1.19309035130466</v>
      </c>
      <c r="P152" s="8" t="n">
        <f aca="false">O152*(1-$D$37)+P149</f>
        <v>1.35124520092462</v>
      </c>
      <c r="Q152" s="8" t="n">
        <f aca="false">P152*(1-$D$37)+Q149</f>
        <v>1.52346747385454</v>
      </c>
      <c r="R152" s="8" t="n">
        <f aca="false">Q152*(1-$D$37)+R149</f>
        <v>1.71124257519978</v>
      </c>
      <c r="S152" s="8" t="n">
        <f aca="false">R152*(1-$D$37)+S149</f>
        <v>1.91620091075134</v>
      </c>
      <c r="T152" s="8" t="n">
        <f aca="false">S152*(1-$D$37)+T149</f>
        <v>2.14013254634664</v>
      </c>
      <c r="U152" s="8" t="n">
        <f aca="false">T152*(1-$D$37)+U149</f>
        <v>2.38500332599807</v>
      </c>
      <c r="V152" s="8" t="n">
        <f aca="false">U152*(1-$D$37)+V149</f>
        <v>2.65297259498888</v>
      </c>
      <c r="W152" s="8" t="n">
        <f aca="false">V152*(1-$D$37)+W149</f>
        <v>2.94641268874118</v>
      </c>
      <c r="X152" s="8" t="n">
        <f aca="false">W152*(1-$D$37)+X149</f>
        <v>3.26793036432731</v>
      </c>
      <c r="Y152" s="8" t="n">
        <f aca="false">X152*(1-$D$37)+Y149</f>
        <v>3.62039036917</v>
      </c>
      <c r="Z152" s="8" t="n">
        <f aca="false">Y152*(1-$D$37)+Z149</f>
        <v>4.00694136091852</v>
      </c>
      <c r="AA152" s="8" t="n">
        <f aca="false">Z152*(1-$D$37)+AA149</f>
        <v>4.43104441387448</v>
      </c>
      <c r="AB152" s="8" t="n">
        <f aca="false">AA152*(1-$D$37)+AB149</f>
        <v>4.89650437086714</v>
      </c>
      <c r="AC152" s="8" t="n">
        <f aca="false">AB152*(1-$D$37)+AC149</f>
        <v>5.40750432535683</v>
      </c>
      <c r="AD152" s="8" t="n">
        <f aca="false">AC152*(1-$D$37)+AD149</f>
        <v>5.96864354701236</v>
      </c>
      <c r="AE152" s="8" t="n">
        <f aca="false">AD152*(1-$D$37)+AE149</f>
        <v>6.58497919532305</v>
      </c>
      <c r="AF152" s="8" t="n">
        <f aca="false">AE152*(1-$D$37)+AF149</f>
        <v>7.26207220025239</v>
      </c>
      <c r="AG152" s="8" t="n">
        <f aca="false">AF152*(1-$D$37)+AG149</f>
        <v>8.00603772683179</v>
      </c>
      <c r="AH152" s="8" t="n">
        <f aca="false">AG152*(1-$D$37)+AH149</f>
        <v>8.8236006822742</v>
      </c>
      <c r="AI152" s="8" t="n">
        <f aca="false">AH152*(1-$D$37)+AI149</f>
        <v>9.72215677003668</v>
      </c>
      <c r="AJ152" s="8" t="n">
        <f aca="false">AI152*(1-$D$37)+AJ149</f>
        <v>10.7098396456963</v>
      </c>
      <c r="AK152" s="8" t="n">
        <f aca="false">AJ152*(1-$D$37)+AK149</f>
        <v>11.7955947849824</v>
      </c>
      <c r="AL152" s="8" t="n">
        <f aca="false">AK152*(1-$D$37)+AL149</f>
        <v>12.9892607353349</v>
      </c>
      <c r="AM152" s="8" t="n">
        <f aca="false">AL152*(1-$D$37)+AM149</f>
        <v>14.3016584894892</v>
      </c>
      <c r="AN152" s="8" t="n">
        <f aca="false">AM152*(1-$D$37)+AN149</f>
        <v>15.7446897934309</v>
      </c>
      <c r="AO152" s="8" t="n">
        <f aca="false">AN152*(1-$D$37)+AO149</f>
        <v>17.3314452822922</v>
      </c>
      <c r="AP152" s="8" t="n">
        <f aca="false">AO152*(1-$D$37)+AP149</f>
        <v>19.0763234271113</v>
      </c>
      <c r="AQ152" s="8" t="n">
        <f aca="false">AP152*(1-$D$37)+AQ149</f>
        <v>20.9951613736657</v>
      </c>
      <c r="AR152" s="8" t="n">
        <f aca="false">AQ152*(1-$D$37)+AR149</f>
        <v>23.1053788627026</v>
      </c>
      <c r="AS152" s="8" t="n">
        <f aca="false">AR152*(1-$D$37)+AS149</f>
        <v>25.4261365398181</v>
      </c>
      <c r="AT152" s="8" t="n">
        <f aca="false">AS152*(1-$D$37)+AT149</f>
        <v>27.978510094057</v>
      </c>
      <c r="AU152" s="8" t="n">
        <f aca="false">AT152*(1-$D$37)+AU149</f>
        <v>30.7856818082083</v>
      </c>
      <c r="AV152" s="8" t="n">
        <f aca="false">AU152*(1-$D$37)+AV149</f>
        <v>33.8731512620612</v>
      </c>
      <c r="AW152" s="8" t="n">
        <f aca="false">AV152*(1-$D$37)+AW149</f>
        <v>37.2689671040129</v>
      </c>
      <c r="AX152" s="8" t="n">
        <f aca="false">AW152*(1-$D$37)+AX149</f>
        <v>40.9918635843323</v>
      </c>
      <c r="AY152" s="8" t="n">
        <f aca="false">AX152*(1-$D$37)+AY149</f>
        <v>44.5472297230374</v>
      </c>
      <c r="AZ152" s="8" t="n">
        <f aca="false">AY152*(1-$D$37)+AZ149</f>
        <v>47.9426043855007</v>
      </c>
      <c r="BA152" s="8" t="n">
        <f aca="false">AZ152*(1-$D$37)+BA149</f>
        <v>51.1851871881532</v>
      </c>
      <c r="BB152" s="8" t="n">
        <f aca="false">BA152*(1-$D$37)+BB149</f>
        <v>54.2818537646863</v>
      </c>
      <c r="BC152" s="8" t="n">
        <f aca="false">BB152*(1-$D$37)+BC149</f>
        <v>57.2391703452754</v>
      </c>
      <c r="BD152" s="8" t="n">
        <f aca="false">BC152*(1-$D$37)+BD149</f>
        <v>60.063407679738</v>
      </c>
      <c r="BE152" s="8" t="n">
        <f aca="false">BD152*(1-$D$37)+BE149</f>
        <v>62.7605543341498</v>
      </c>
      <c r="BF152" s="8" t="n">
        <f aca="false">BE152*(1-$D$37)+BF149</f>
        <v>65.336329389113</v>
      </c>
      <c r="BG152" s="8" t="n">
        <f aca="false">BF152*(1-$D$37)+BG149</f>
        <v>67.7961945666029</v>
      </c>
      <c r="BH152" s="8" t="n">
        <f aca="false">BG152*(1-$D$37)+BH149</f>
        <v>70.1453658111058</v>
      </c>
      <c r="BI152" s="8" t="n">
        <f aca="false">BH152*(1-$D$37)+BI149</f>
        <v>72.388824349606</v>
      </c>
      <c r="BJ152" s="8" t="n">
        <f aca="false">BI152*(1-$D$37)+BJ149</f>
        <v>74.5313272538738</v>
      </c>
      <c r="BK152" s="8" t="n">
        <f aca="false">BJ152*(1-$D$37)+BK149</f>
        <v>76.5774175274495</v>
      </c>
    </row>
    <row r="153" customFormat="false" ht="15" hidden="false" customHeight="false" outlineLevel="0" collapsed="false">
      <c r="A153" s="6" t="s">
        <v>194</v>
      </c>
      <c r="D153" s="8" t="n">
        <f aca="false">D150+D151+D152</f>
        <v>0.675</v>
      </c>
      <c r="E153" s="8" t="n">
        <f aca="false">E150+E151+E152</f>
        <v>1.366875</v>
      </c>
      <c r="F153" s="8" t="n">
        <f aca="false">F150+F151+F152</f>
        <v>2.0813068125</v>
      </c>
      <c r="G153" s="8" t="n">
        <f aca="false">G150+G151+G152</f>
        <v>2.8242176090625</v>
      </c>
      <c r="H153" s="8" t="n">
        <f aca="false">H150+H151+H152</f>
        <v>3.60182165252344</v>
      </c>
      <c r="I153" s="8" t="n">
        <f aca="false">I150+I151+I152</f>
        <v>4.42067981406645</v>
      </c>
      <c r="J153" s="8" t="n">
        <f aca="false">J150+J151+J152</f>
        <v>5.28775736252722</v>
      </c>
      <c r="K153" s="8" t="n">
        <f aca="false">K150+K151+K152</f>
        <v>6.21048554358811</v>
      </c>
      <c r="L153" s="8" t="n">
        <f aca="false">L150+L151+L152</f>
        <v>7.19682750148466</v>
      </c>
      <c r="M153" s="8" t="n">
        <f aca="false">M150+M151+M152</f>
        <v>8.25534913579624</v>
      </c>
      <c r="N153" s="8" t="n">
        <f aca="false">N150+N151+N152</f>
        <v>9.39529553119782</v>
      </c>
      <c r="O153" s="8" t="n">
        <f aca="false">O150+O151+O152</f>
        <v>10.6266736491237</v>
      </c>
      <c r="P153" s="8" t="n">
        <f aca="false">P150+P151+P152</f>
        <v>11.9603420276027</v>
      </c>
      <c r="Q153" s="8" t="n">
        <f aca="false">Q150+Q151+Q152</f>
        <v>13.4081082995919</v>
      </c>
      <c r="R153" s="8" t="n">
        <f aca="false">R150+R151+R152</f>
        <v>14.9828354115445</v>
      </c>
      <c r="S153" s="8" t="n">
        <f aca="false">S150+S151+S152</f>
        <v>16.6985575033515</v>
      </c>
      <c r="T153" s="8" t="n">
        <f aca="false">T150+T151+T152</f>
        <v>18.5706064989155</v>
      </c>
      <c r="U153" s="8" t="n">
        <f aca="false">U150+U151+U152</f>
        <v>20.6157505542551</v>
      </c>
      <c r="V153" s="8" t="n">
        <f aca="false">V150+V151+V152</f>
        <v>22.8523456180831</v>
      </c>
      <c r="W153" s="8" t="n">
        <f aca="false">W150+W151+W152</f>
        <v>25.3005014792453</v>
      </c>
      <c r="X153" s="8" t="n">
        <f aca="false">X150+X151+X152</f>
        <v>27.982263807319</v>
      </c>
      <c r="Y153" s="8" t="n">
        <f aca="false">Y150+Y151+Y152</f>
        <v>30.9218138382728</v>
      </c>
      <c r="Z153" s="8" t="n">
        <f aca="false">Z150+Z151+Z152</f>
        <v>34.1456875176853</v>
      </c>
      <c r="AA153" s="8" t="n">
        <f aca="false">AA150+AA151+AA152</f>
        <v>37.6830160910906</v>
      </c>
      <c r="AB153" s="8" t="n">
        <f aca="false">AB150+AB151+AB152</f>
        <v>41.5657903261534</v>
      </c>
      <c r="AC153" s="8" t="n">
        <f aca="false">AC150+AC151+AC152</f>
        <v>45.8291507663741</v>
      </c>
      <c r="AD153" s="8" t="n">
        <f aca="false">AD150+AD151+AD152</f>
        <v>50.5117066528135</v>
      </c>
      <c r="AE153" s="8" t="n">
        <f aca="false">AE150+AE151+AE152</f>
        <v>55.6558864110872</v>
      </c>
      <c r="AF153" s="8" t="n">
        <f aca="false">AF150+AF151+AF152</f>
        <v>61.3083228879599</v>
      </c>
      <c r="AG153" s="8" t="n">
        <f aca="false">AG150+AG151+AG152</f>
        <v>67.5202768378966</v>
      </c>
      <c r="AH153" s="8" t="n">
        <f aca="false">AH150+AH151+AH152</f>
        <v>74.3481025077669</v>
      </c>
      <c r="AI153" s="8" t="n">
        <f aca="false">AI150+AI151+AI152</f>
        <v>81.8537595507098</v>
      </c>
      <c r="AJ153" s="8" t="n">
        <f aca="false">AJ150+AJ151+AJ152</f>
        <v>90.1053759214433</v>
      </c>
      <c r="AK153" s="8" t="n">
        <f aca="false">AK150+AK151+AK152</f>
        <v>99.1778668688575</v>
      </c>
      <c r="AL153" s="8" t="n">
        <f aca="false">AL150+AL151+AL152</f>
        <v>109.153615651794</v>
      </c>
      <c r="AM153" s="8" t="n">
        <f aca="false">AM150+AM151+AM152</f>
        <v>120.123222165112</v>
      </c>
      <c r="AN153" s="8" t="n">
        <f aca="false">AN150+AN151+AN152</f>
        <v>132.186326280587</v>
      </c>
      <c r="AO153" s="8" t="n">
        <f aca="false">AO150+AO151+AO152</f>
        <v>145.452513386474</v>
      </c>
      <c r="AP153" s="8" t="n">
        <f aca="false">AP150+AP151+AP152</f>
        <v>160.042310356914</v>
      </c>
      <c r="AQ153" s="8" t="n">
        <f aca="false">AQ150+AQ151+AQ152</f>
        <v>176.08828100448</v>
      </c>
      <c r="AR153" s="8" t="n">
        <f aca="false">AR150+AR151+AR152</f>
        <v>193.736230973653</v>
      </c>
      <c r="AS153" s="8" t="n">
        <f aca="false">AS150+AS151+AS152</f>
        <v>213.146533027943</v>
      </c>
      <c r="AT153" s="8" t="n">
        <f aca="false">AT150+AT151+AT152</f>
        <v>234.495584777955</v>
      </c>
      <c r="AU153" s="8" t="n">
        <f aca="false">AU150+AU151+AU152</f>
        <v>257.977412101707</v>
      </c>
      <c r="AV153" s="8" t="n">
        <f aca="false">AV150+AV151+AV152</f>
        <v>283.805432833081</v>
      </c>
      <c r="AW153" s="8" t="n">
        <f aca="false">AW150+AW151+AW152</f>
        <v>312.214396751258</v>
      </c>
      <c r="AX153" s="8" t="n">
        <f aca="false">AX150+AX151+AX152</f>
        <v>343.341335370626</v>
      </c>
      <c r="AY153" s="8" t="n">
        <f aca="false">AY150+AY151+AY152</f>
        <v>372.188432007428</v>
      </c>
      <c r="AZ153" s="8" t="n">
        <f aca="false">AZ150+AZ151+AZ152</f>
        <v>398.932090445627</v>
      </c>
      <c r="BA153" s="8" t="n">
        <f aca="false">BA150+BA151+BA152</f>
        <v>423.734451965319</v>
      </c>
      <c r="BB153" s="8" t="n">
        <f aca="false">BB150+BB151+BB152</f>
        <v>446.744587226611</v>
      </c>
      <c r="BC153" s="8" t="n">
        <f aca="false">BC150+BC151+BC152</f>
        <v>468.099586159449</v>
      </c>
      <c r="BD153" s="8" t="n">
        <f aca="false">BD150+BD151+BD152</f>
        <v>487.925554732628</v>
      </c>
      <c r="BE153" s="8" t="n">
        <f aca="false">BE150+BE151+BE152</f>
        <v>506.338526694552</v>
      </c>
      <c r="BF153" s="8" t="n">
        <f aca="false">BF150+BF151+BF152</f>
        <v>523.445297666816</v>
      </c>
      <c r="BG153" s="8" t="n">
        <f aca="false">BG150+BG151+BG152</f>
        <v>539.344188323265</v>
      </c>
      <c r="BH153" s="8" t="n">
        <f aca="false">BH150+BH151+BH152</f>
        <v>554.125742796183</v>
      </c>
      <c r="BI153" s="8" t="n">
        <f aca="false">BI150+BI151+BI152</f>
        <v>567.873367912551</v>
      </c>
      <c r="BJ153" s="8" t="n">
        <f aca="false">BJ150+BJ151+BJ152</f>
        <v>580.663918372286</v>
      </c>
      <c r="BK153" s="8" t="n">
        <f aca="false">BK150+BK151+BK152</f>
        <v>592.56823253277</v>
      </c>
    </row>
    <row r="154" customFormat="false" ht="15" hidden="false" customHeight="false" outlineLevel="0" collapsed="false">
      <c r="A154" s="0" t="s">
        <v>195</v>
      </c>
      <c r="D154" s="8" t="n">
        <f aca="false">C150*$D$35+C151*$D$36+C152*$D$37</f>
        <v>0</v>
      </c>
      <c r="E154" s="8" t="n">
        <f aca="false">D150*$D$35+D151*$D$36+D152*$D$37</f>
        <v>0.050625</v>
      </c>
      <c r="F154" s="8" t="n">
        <f aca="false">E150*$D$35+E151*$D$36+E152*$D$37</f>
        <v>0.1023181875</v>
      </c>
      <c r="G154" s="8" t="n">
        <f aca="false">F150*$D$35+F151*$D$36+F152*$D$37</f>
        <v>0.1555142034375</v>
      </c>
      <c r="H154" s="8" t="n">
        <f aca="false">G150*$D$35+G151*$D$36+G152*$D$37</f>
        <v>0.210663456539063</v>
      </c>
      <c r="I154" s="8" t="n">
        <f aca="false">H150*$D$35+H151*$D$36+H152*$D$37</f>
        <v>0.268236088456992</v>
      </c>
      <c r="J154" s="8" t="n">
        <f aca="false">I150*$D$35+I151*$D$36+I152*$D$37</f>
        <v>0.328726126539228</v>
      </c>
      <c r="K154" s="8" t="n">
        <f aca="false">J150*$D$35+J151*$D$36+J152*$D$37</f>
        <v>0.392655861439114</v>
      </c>
      <c r="L154" s="8" t="n">
        <f aca="false">K150*$D$35+K151*$D$36+K152*$D$37</f>
        <v>0.460580488853451</v>
      </c>
      <c r="M154" s="8" t="n">
        <f aca="false">L150*$D$35+L151*$D$36+L152*$D$37</f>
        <v>0.53309305711342</v>
      </c>
      <c r="N154" s="8" t="n">
        <f aca="false">M150*$D$35+M151*$D$36+M152*$D$37</f>
        <v>0.610829765165918</v>
      </c>
      <c r="O154" s="8" t="n">
        <f aca="false">N150*$D$35+N151*$D$36+N152*$D$37</f>
        <v>0.694475658698383</v>
      </c>
      <c r="P154" s="8" t="n">
        <f aca="false">O150*$D$35+O151*$D$36+O152*$D$37</f>
        <v>0.784770775807647</v>
      </c>
      <c r="Q154" s="8" t="n">
        <f aca="false">P150*$D$35+P151*$D$36+P152*$D$37</f>
        <v>0.882516797726138</v>
      </c>
      <c r="R154" s="8" t="n">
        <f aca="false">Q150*$D$35+Q151*$D$36+Q152*$D$37</f>
        <v>0.988584264734299</v>
      </c>
      <c r="S154" s="8" t="n">
        <f aca="false">R150*$D$35+R151*$D$36+R152*$D$37</f>
        <v>1.10392042254861</v>
      </c>
      <c r="T154" s="8" t="n">
        <f aca="false">S150*$D$35+S151*$D$36+S152*$D$37</f>
        <v>1.22955777022707</v>
      </c>
      <c r="U154" s="8" t="n">
        <f aca="false">T150*$D$35+T151*$D$36+T152*$D$37</f>
        <v>1.36662338703069</v>
      </c>
      <c r="V154" s="8" t="n">
        <f aca="false">U150*$D$35+U151*$D$36+U152*$D$37</f>
        <v>1.51634912277921</v>
      </c>
      <c r="W154" s="8" t="n">
        <f aca="false">V150*$D$35+V151*$D$36+V152*$D$37</f>
        <v>1.6800827441058</v>
      </c>
      <c r="X154" s="8" t="n">
        <f aca="false">W150*$D$35+W151*$D$36+W152*$D$37</f>
        <v>1.85930013772106</v>
      </c>
      <c r="Y154" s="8" t="n">
        <f aca="false">X150*$D$35+X151*$D$36+X152*$D$37</f>
        <v>2.05561868142054</v>
      </c>
      <c r="Z154" s="8" t="n">
        <f aca="false">Y150*$D$35+Y151*$D$36+Y152*$D$37</f>
        <v>2.27081190419913</v>
      </c>
      <c r="AA154" s="8" t="n">
        <f aca="false">Z150*$D$35+Z151*$D$36+Z152*$D$37</f>
        <v>2.50682556856762</v>
      </c>
      <c r="AB154" s="8" t="n">
        <f aca="false">AA150*$D$35+AA151*$D$36+AA152*$D$37</f>
        <v>2.76579532110732</v>
      </c>
      <c r="AC154" s="8" t="n">
        <f aca="false">AB150*$D$35+AB151*$D$36+AB152*$D$37</f>
        <v>3.05006607156651</v>
      </c>
      <c r="AD154" s="8" t="n">
        <f aca="false">AC150*$D$35+AC151*$D$36+AC152*$D$37</f>
        <v>3.36221327652646</v>
      </c>
      <c r="AE154" s="8" t="n">
        <f aca="false">AD150*$D$35+AD151*$D$36+AD152*$D$37</f>
        <v>3.70506632098874</v>
      </c>
      <c r="AF154" s="8" t="n">
        <f aca="false">AE150*$D$35+AE151*$D$36+AE152*$D$37</f>
        <v>4.08173421031607</v>
      </c>
      <c r="AG154" s="8" t="n">
        <f aca="false">AF150*$D$35+AF151*$D$36+AF152*$D$37</f>
        <v>4.49563380597084</v>
      </c>
      <c r="AH154" s="8" t="n">
        <f aca="false">AG150*$D$35+AG151*$D$36+AG152*$D$37</f>
        <v>4.9505208616281</v>
      </c>
      <c r="AI154" s="8" t="n">
        <f aca="false">AH150*$D$35+AH151*$D$36+AH152*$D$37</f>
        <v>5.45052414170529</v>
      </c>
      <c r="AJ154" s="8" t="n">
        <f aca="false">AI150*$D$35+AI151*$D$36+AI152*$D$37</f>
        <v>6.00018293237952</v>
      </c>
      <c r="AK154" s="8" t="n">
        <f aca="false">AJ150*$D$35+AJ151*$D$36+AJ152*$D$37</f>
        <v>6.60448828601012</v>
      </c>
      <c r="AL154" s="8" t="n">
        <f aca="false">AK150*$D$35+AK151*$D$36+AK152*$D$37</f>
        <v>7.26892837383038</v>
      </c>
      <c r="AM154" s="8" t="n">
        <f aca="false">AL150*$D$35+AL151*$D$36+AL152*$D$37</f>
        <v>7.9995383591253</v>
      </c>
      <c r="AN154" s="8" t="n">
        <f aca="false">AM150*$D$35+AM151*$D$36+AM152*$D$37</f>
        <v>8.80295524421309</v>
      </c>
      <c r="AO154" s="8" t="n">
        <f aca="false">AN150*$D$35+AN151*$D$36+AN152*$D$37</f>
        <v>9.68647818976891</v>
      </c>
      <c r="AP154" s="8" t="n">
        <f aca="false">AO150*$D$35+AO151*$D$36+AO152*$D$37</f>
        <v>10.6581348547824</v>
      </c>
      <c r="AQ154" s="8" t="n">
        <f aca="false">AP150*$D$35+AP151*$D$36+AP152*$D$37</f>
        <v>11.7267543601781</v>
      </c>
      <c r="AR154" s="8" t="n">
        <f aca="false">AQ150*$D$35+AQ151*$D$36+AQ152*$D$37</f>
        <v>12.9020475393463</v>
      </c>
      <c r="AS154" s="8" t="n">
        <f aca="false">AR150*$D$35+AR151*$D$36+AR152*$D$37</f>
        <v>14.1946952050802</v>
      </c>
      <c r="AT154" s="8" t="n">
        <f aca="false">AS150*$D$35+AS151*$D$36+AS152*$D$37</f>
        <v>15.6164452352964</v>
      </c>
      <c r="AU154" s="8" t="n">
        <f aca="false">AT150*$D$35+AT151*$D$36+AT152*$D$37</f>
        <v>17.1802193600865</v>
      </c>
      <c r="AV154" s="8" t="n">
        <f aca="false">AU150*$D$35+AU151*$D$36+AU152*$D$37</f>
        <v>18.9002306208489</v>
      </c>
      <c r="AW154" s="8" t="n">
        <f aca="false">AV150*$D$35+AV151*$D$36+AV152*$D$37</f>
        <v>20.792112569267</v>
      </c>
      <c r="AX154" s="8" t="n">
        <f aca="false">AW150*$D$35+AW151*$D$36+AW152*$D$37</f>
        <v>22.873061380632</v>
      </c>
      <c r="AY154" s="8" t="n">
        <f aca="false">AX150*$D$35+AX151*$D$36+AX152*$D$37</f>
        <v>25.1529033631988</v>
      </c>
      <c r="AZ154" s="8" t="n">
        <f aca="false">AY150*$D$35+AY151*$D$36+AY152*$D$37</f>
        <v>27.2563415618009</v>
      </c>
      <c r="BA154" s="8" t="n">
        <f aca="false">AZ150*$D$35+AZ151*$D$36+AZ152*$D$37</f>
        <v>29.1976384803079</v>
      </c>
      <c r="BB154" s="8" t="n">
        <f aca="false">BA150*$D$35+BA151*$D$36+BA152*$D$37</f>
        <v>30.9898647387078</v>
      </c>
      <c r="BC154" s="8" t="n">
        <f aca="false">BB150*$D$35+BB151*$D$36+BB152*$D$37</f>
        <v>32.6450010671624</v>
      </c>
      <c r="BD154" s="8" t="n">
        <f aca="false">BC150*$D$35+BC151*$D$36+BC152*$D$37</f>
        <v>34.1740314268206</v>
      </c>
      <c r="BE154" s="8" t="n">
        <f aca="false">BD150*$D$35+BD151*$D$36+BD152*$D$37</f>
        <v>35.5870280380754</v>
      </c>
      <c r="BF154" s="8" t="n">
        <f aca="false">BE150*$D$35+BE151*$D$36+BE152*$D$37</f>
        <v>36.8932290277365</v>
      </c>
      <c r="BG154" s="8" t="n">
        <f aca="false">BF150*$D$35+BF151*$D$36+BF152*$D$37</f>
        <v>38.1011093435511</v>
      </c>
      <c r="BH154" s="8" t="n">
        <f aca="false">BG150*$D$35+BG151*$D$36+BG152*$D$37</f>
        <v>39.2184455270816</v>
      </c>
      <c r="BI154" s="8" t="n">
        <f aca="false">BH150*$D$35+BH151*$D$36+BH152*$D$37</f>
        <v>40.2523748836325</v>
      </c>
      <c r="BJ154" s="8" t="n">
        <f aca="false">BI150*$D$35+BI151*$D$36+BI152*$D$37</f>
        <v>41.2094495402645</v>
      </c>
      <c r="BK154" s="8" t="n">
        <f aca="false">BJ150*$D$35+BJ151*$D$36+BJ152*$D$37</f>
        <v>42.0956858395166</v>
      </c>
    </row>
    <row r="155" customFormat="false" ht="15" hidden="false" customHeight="false" outlineLevel="0" collapsed="false">
      <c r="A155" s="0" t="s">
        <v>196</v>
      </c>
      <c r="D155" s="7" t="n">
        <f aca="false">D150*$D$6+D151*$D$7+D152*$D$8</f>
        <v>24.7995</v>
      </c>
      <c r="E155" s="7" t="n">
        <f aca="false">E150*$D$6+E151*$D$7+E152*$D$8</f>
        <v>50.46958125</v>
      </c>
      <c r="F155" s="7" t="n">
        <f aca="false">F150*$D$6+F151*$D$7+F152*$D$8</f>
        <v>77.209345681875</v>
      </c>
      <c r="G155" s="7" t="n">
        <f aca="false">G150*$D$6+G151*$D$7+G152*$D$8</f>
        <v>105.229484430159</v>
      </c>
      <c r="H155" s="7" t="n">
        <f aca="false">H150*$D$6+H151*$D$7+H152*$D$8</f>
        <v>134.754089089819</v>
      </c>
      <c r="I155" s="7" t="n">
        <f aca="false">I150*$D$6+I151*$D$7+I152*$D$8</f>
        <v>166.022590767374</v>
      </c>
      <c r="J155" s="7" t="n">
        <f aca="false">J150*$D$6+J151*$D$7+J152*$D$8</f>
        <v>199.291844200639</v>
      </c>
      <c r="K155" s="7" t="n">
        <f aca="false">K150*$D$6+K151*$D$7+K152*$D$8</f>
        <v>234.838375562619</v>
      </c>
      <c r="L155" s="7" t="n">
        <f aca="false">L150*$D$6+L151*$D$7+L152*$D$8</f>
        <v>272.960814073281</v>
      </c>
      <c r="M155" s="7" t="n">
        <f aca="false">M150*$D$6+M151*$D$7+M152*$D$8</f>
        <v>313.982529232766</v>
      </c>
      <c r="N155" s="7" t="n">
        <f aca="false">N150*$D$6+N151*$D$7+N152*$D$8</f>
        <v>358.254497376542</v>
      </c>
      <c r="O155" s="7" t="n">
        <f aca="false">O150*$D$6+O151*$D$7+O152*$D$8</f>
        <v>406.158423354335</v>
      </c>
      <c r="P155" s="7" t="n">
        <f aca="false">P150*$D$6+P151*$D$7+P152*$D$8</f>
        <v>458.110145469497</v>
      </c>
      <c r="Q155" s="7" t="n">
        <f aca="false">Q150*$D$6+Q151*$D$7+Q152*$D$8</f>
        <v>514.56335440514</v>
      </c>
      <c r="R155" s="7" t="n">
        <f aca="false">R150*$D$6+R151*$D$7+R152*$D$8</f>
        <v>576.013659731425</v>
      </c>
      <c r="S155" s="7" t="n">
        <f aca="false">S150*$D$6+S151*$D$7+S152*$D$8</f>
        <v>643.003040761062</v>
      </c>
      <c r="T155" s="7" t="n">
        <f aca="false">T150*$D$6+T151*$D$7+T152*$D$8</f>
        <v>716.124722026146</v>
      </c>
      <c r="U155" s="7" t="n">
        <f aca="false">U150*$D$6+U151*$D$7+U152*$D$8</f>
        <v>796.028517520932</v>
      </c>
      <c r="V155" s="7" t="n">
        <f aca="false">V150*$D$6+V151*$D$7+V152*$D$8</f>
        <v>883.426692127242</v>
      </c>
      <c r="W155" s="7" t="n">
        <f aca="false">W150*$D$6+W151*$D$7+W152*$D$8</f>
        <v>979.100393350793</v>
      </c>
      <c r="X155" s="7" t="n">
        <f aca="false">X150*$D$6+X151*$D$7+X152*$D$8</f>
        <v>1083.9067116907</v>
      </c>
      <c r="Y155" s="7" t="n">
        <f aca="false">Y150*$D$6+Y151*$D$7+Y152*$D$8</f>
        <v>1198.78643368798</v>
      </c>
      <c r="Z155" s="7" t="n">
        <f aca="false">Z150*$D$6+Z151*$D$7+Z152*$D$8</f>
        <v>1324.77255800428</v>
      </c>
      <c r="AA155" s="7" t="n">
        <f aca="false">AA150*$D$6+AA151*$D$7+AA152*$D$8</f>
        <v>1462.99965182626</v>
      </c>
      <c r="AB155" s="7" t="n">
        <f aca="false">AB150*$D$6+AB151*$D$7+AB152*$D$8</f>
        <v>1614.71413253774</v>
      </c>
      <c r="AC155" s="7" t="n">
        <f aca="false">AC150*$D$6+AC151*$D$7+AC152*$D$8</f>
        <v>1781.28556802015</v>
      </c>
      <c r="AD155" s="7" t="n">
        <f aca="false">AD150*$D$6+AD151*$D$7+AD152*$D$8</f>
        <v>1964.21909820816</v>
      </c>
      <c r="AE155" s="7" t="n">
        <f aca="false">AE150*$D$6+AE151*$D$7+AE152*$D$8</f>
        <v>2165.16909072701</v>
      </c>
      <c r="AF155" s="7" t="n">
        <f aca="false">AF150*$D$6+AF151*$D$7+AF152*$D$8</f>
        <v>2385.95415466233</v>
      </c>
      <c r="AG155" s="7" t="n">
        <f aca="false">AG150*$D$6+AG151*$D$7+AG152*$D$8</f>
        <v>2628.5736488654</v>
      </c>
      <c r="AH155" s="7" t="n">
        <f aca="false">AH150*$D$6+AH151*$D$7+AH152*$D$8</f>
        <v>2895.22583478835</v>
      </c>
      <c r="AI155" s="7" t="n">
        <f aca="false">AI150*$D$6+AI151*$D$7+AI152*$D$8</f>
        <v>3188.32783879888</v>
      </c>
      <c r="AJ155" s="7" t="n">
        <f aca="false">AJ150*$D$6+AJ151*$D$7+AJ152*$D$8</f>
        <v>3510.53760537822</v>
      </c>
      <c r="AK155" s="7" t="n">
        <f aca="false">AK150*$D$6+AK151*$D$7+AK152*$D$8</f>
        <v>3864.77804070921</v>
      </c>
      <c r="AL155" s="7" t="n">
        <f aca="false">AL150*$D$6+AL151*$D$7+AL152*$D$8</f>
        <v>4254.26356607788</v>
      </c>
      <c r="AM155" s="7" t="n">
        <f aca="false">AM150*$D$6+AM151*$D$7+AM152*$D$8</f>
        <v>4682.52932242303</v>
      </c>
      <c r="AN155" s="7" t="n">
        <f aca="false">AN150*$D$6+AN151*$D$7+AN152*$D$8</f>
        <v>5153.46329147298</v>
      </c>
      <c r="AO155" s="7" t="n">
        <f aca="false">AO150*$D$6+AO151*$D$7+AO152*$D$8</f>
        <v>5671.34162542659</v>
      </c>
      <c r="AP155" s="7" t="n">
        <f aca="false">AP150*$D$6+AP151*$D$7+AP152*$D$8</f>
        <v>6240.86750630705</v>
      </c>
      <c r="AQ155" s="7" t="n">
        <f aca="false">AQ150*$D$6+AQ151*$D$7+AQ152*$D$8</f>
        <v>6867.21388820781</v>
      </c>
      <c r="AR155" s="7" t="n">
        <f aca="false">AR150*$D$6+AR151*$D$7+AR152*$D$8</f>
        <v>7556.07051095197</v>
      </c>
      <c r="AS155" s="7" t="n">
        <f aca="false">AS150*$D$6+AS151*$D$7+AS152*$D$8</f>
        <v>8313.69561251962</v>
      </c>
      <c r="AT155" s="7" t="n">
        <f aca="false">AT150*$D$6+AT151*$D$7+AT152*$D$8</f>
        <v>9146.97281031657</v>
      </c>
      <c r="AU155" s="7" t="n">
        <f aca="false">AU150*$D$6+AU151*$D$7+AU152*$D$8</f>
        <v>10063.4736683492</v>
      </c>
      <c r="AV155" s="7" t="n">
        <f aca="false">AV150*$D$6+AV151*$D$7+AV152*$D$8</f>
        <v>11071.5265190628</v>
      </c>
      <c r="AW155" s="7" t="n">
        <f aca="false">AW150*$D$6+AW151*$D$7+AW152*$D$8</f>
        <v>12180.2921654626</v>
      </c>
      <c r="AX155" s="7" t="n">
        <f aca="false">AX150*$D$6+AX151*$D$7+AX152*$D$8</f>
        <v>13395.3948465243</v>
      </c>
      <c r="AY155" s="7" t="n">
        <f aca="false">AY150*$D$6+AY151*$D$7+AY152*$D$8</f>
        <v>14533.8184514472</v>
      </c>
      <c r="AZ155" s="7" t="n">
        <f aca="false">AZ150*$D$6+AZ151*$D$7+AZ152*$D$8</f>
        <v>15600.7545575573</v>
      </c>
      <c r="BA155" s="7" t="n">
        <f aca="false">BA150*$D$6+BA151*$D$7+BA152*$D$8</f>
        <v>16601.0187654256</v>
      </c>
      <c r="BB155" s="7" t="n">
        <f aca="false">BB150*$D$6+BB151*$D$7+BB152*$D$8</f>
        <v>17539.0795696863</v>
      </c>
      <c r="BC155" s="7" t="n">
        <f aca="false">BC150*$D$6+BC151*$D$7+BC152*$D$8</f>
        <v>18419.0849066097</v>
      </c>
      <c r="BD155" s="7" t="n">
        <f aca="false">BD150*$D$6+BD151*$D$7+BD152*$D$8</f>
        <v>19244.886572045</v>
      </c>
      <c r="BE155" s="7" t="n">
        <f aca="false">BE150*$D$6+BE151*$D$7+BE152*$D$8</f>
        <v>20020.0626868032</v>
      </c>
      <c r="BF155" s="7" t="n">
        <f aca="false">BF150*$D$6+BF151*$D$7+BF152*$D$8</f>
        <v>20747.9383714489</v>
      </c>
      <c r="BG155" s="7" t="n">
        <f aca="false">BG150*$D$6+BG151*$D$7+BG152*$D$8</f>
        <v>21431.6047786729</v>
      </c>
      <c r="BH155" s="7" t="n">
        <f aca="false">BH150*$D$6+BH151*$D$7+BH152*$D$8</f>
        <v>22073.936618821</v>
      </c>
      <c r="BI155" s="7" t="n">
        <f aca="false">BI150*$D$6+BI151*$D$7+BI152*$D$8</f>
        <v>22677.608302651</v>
      </c>
      <c r="BJ155" s="7" t="n">
        <f aca="false">BJ150*$D$6+BJ151*$D$7+BJ152*$D$8</f>
        <v>23245.1088148759</v>
      </c>
      <c r="BK155" s="7" t="n">
        <f aca="false">BK150*$D$6+BK151*$D$7+BK152*$D$8</f>
        <v>23778.7554224518</v>
      </c>
    </row>
    <row r="156" customFormat="false" ht="15" hidden="false" customHeight="false" outlineLevel="0" collapsed="false">
      <c r="A156" s="6" t="s">
        <v>197</v>
      </c>
      <c r="D156" s="7" t="n">
        <f aca="false">D155*(1+$D$38)</f>
        <v>25.29549</v>
      </c>
      <c r="E156" s="7" t="n">
        <f aca="false">E155*(1+$D$38)</f>
        <v>51.478972875</v>
      </c>
      <c r="F156" s="7" t="n">
        <f aca="false">F155*(1+$D$38)</f>
        <v>78.7535325955125</v>
      </c>
      <c r="G156" s="7" t="n">
        <f aca="false">G155*(1+$D$38)</f>
        <v>107.334074118763</v>
      </c>
      <c r="H156" s="7" t="n">
        <f aca="false">H155*(1+$D$38)</f>
        <v>137.449170871615</v>
      </c>
      <c r="I156" s="7" t="n">
        <f aca="false">I155*(1+$D$38)</f>
        <v>169.343042582721</v>
      </c>
      <c r="J156" s="7" t="n">
        <f aca="false">J155*(1+$D$38)</f>
        <v>203.277681084652</v>
      </c>
      <c r="K156" s="7" t="n">
        <f aca="false">K155*(1+$D$38)</f>
        <v>239.535143073871</v>
      </c>
      <c r="L156" s="7" t="n">
        <f aca="false">L155*(1+$D$38)</f>
        <v>278.420030354747</v>
      </c>
      <c r="M156" s="7" t="n">
        <f aca="false">M155*(1+$D$38)</f>
        <v>320.262179817422</v>
      </c>
      <c r="N156" s="7" t="n">
        <f aca="false">N155*(1+$D$38)</f>
        <v>365.419587324073</v>
      </c>
      <c r="O156" s="7" t="n">
        <f aca="false">O155*(1+$D$38)</f>
        <v>414.281591821421</v>
      </c>
      <c r="P156" s="7" t="n">
        <f aca="false">P155*(1+$D$38)</f>
        <v>467.272348378887</v>
      </c>
      <c r="Q156" s="7" t="n">
        <f aca="false">Q155*(1+$D$38)</f>
        <v>524.854621493242</v>
      </c>
      <c r="R156" s="7" t="n">
        <f aca="false">R155*(1+$D$38)</f>
        <v>587.533932926053</v>
      </c>
      <c r="S156" s="7" t="n">
        <f aca="false">S155*(1+$D$38)</f>
        <v>655.863101576283</v>
      </c>
      <c r="T156" s="7" t="n">
        <f aca="false">T155*(1+$D$38)</f>
        <v>730.447216466669</v>
      </c>
      <c r="U156" s="7" t="n">
        <f aca="false">U155*(1+$D$38)</f>
        <v>811.949087871351</v>
      </c>
      <c r="V156" s="7" t="n">
        <f aca="false">V155*(1+$D$38)</f>
        <v>901.095225969787</v>
      </c>
      <c r="W156" s="7" t="n">
        <f aca="false">W155*(1+$D$38)</f>
        <v>998.682401217809</v>
      </c>
      <c r="X156" s="7" t="n">
        <f aca="false">X155*(1+$D$38)</f>
        <v>1105.58484592451</v>
      </c>
      <c r="Y156" s="7" t="n">
        <f aca="false">Y155*(1+$D$38)</f>
        <v>1222.76216236174</v>
      </c>
      <c r="Z156" s="7" t="n">
        <f aca="false">Z155*(1+$D$38)</f>
        <v>1351.26800916437</v>
      </c>
      <c r="AA156" s="7" t="n">
        <f aca="false">AA155*(1+$D$38)</f>
        <v>1492.25964486278</v>
      </c>
      <c r="AB156" s="7" t="n">
        <f aca="false">AB155*(1+$D$38)</f>
        <v>1647.0084151885</v>
      </c>
      <c r="AC156" s="7" t="n">
        <f aca="false">AC155*(1+$D$38)</f>
        <v>1816.91127938056</v>
      </c>
      <c r="AD156" s="7" t="n">
        <f aca="false">AD155*(1+$D$38)</f>
        <v>2003.50348017233</v>
      </c>
      <c r="AE156" s="7" t="n">
        <f aca="false">AE155*(1+$D$38)</f>
        <v>2208.47247254155</v>
      </c>
      <c r="AF156" s="7" t="n">
        <f aca="false">AF155*(1+$D$38)</f>
        <v>2433.67323775558</v>
      </c>
      <c r="AG156" s="7" t="n">
        <f aca="false">AG155*(1+$D$38)</f>
        <v>2681.14512184271</v>
      </c>
      <c r="AH156" s="7" t="n">
        <f aca="false">AH155*(1+$D$38)</f>
        <v>2953.13035148412</v>
      </c>
      <c r="AI156" s="7" t="n">
        <f aca="false">AI155*(1+$D$38)</f>
        <v>3252.09439557486</v>
      </c>
      <c r="AJ156" s="7" t="n">
        <f aca="false">AJ155*(1+$D$38)</f>
        <v>3580.74835748578</v>
      </c>
      <c r="AK156" s="7" t="n">
        <f aca="false">AK155*(1+$D$38)</f>
        <v>3942.07360152339</v>
      </c>
      <c r="AL156" s="7" t="n">
        <f aca="false">AL155*(1+$D$38)</f>
        <v>4339.34883739944</v>
      </c>
      <c r="AM156" s="7" t="n">
        <f aca="false">AM155*(1+$D$38)</f>
        <v>4776.17990887149</v>
      </c>
      <c r="AN156" s="7" t="n">
        <f aca="false">AN155*(1+$D$38)</f>
        <v>5256.53255730244</v>
      </c>
      <c r="AO156" s="7" t="n">
        <f aca="false">AO155*(1+$D$38)</f>
        <v>5784.76845793512</v>
      </c>
      <c r="AP156" s="7" t="n">
        <f aca="false">AP155*(1+$D$38)</f>
        <v>6365.68485643319</v>
      </c>
      <c r="AQ156" s="7" t="n">
        <f aca="false">AQ155*(1+$D$38)</f>
        <v>7004.55816597197</v>
      </c>
      <c r="AR156" s="7" t="n">
        <f aca="false">AR155*(1+$D$38)</f>
        <v>7707.19192117101</v>
      </c>
      <c r="AS156" s="7" t="n">
        <f aca="false">AS155*(1+$D$38)</f>
        <v>8479.96952477001</v>
      </c>
      <c r="AT156" s="7" t="n">
        <f aca="false">AT155*(1+$D$38)</f>
        <v>9329.9122665229</v>
      </c>
      <c r="AU156" s="7" t="n">
        <f aca="false">AU155*(1+$D$38)</f>
        <v>10264.7431417162</v>
      </c>
      <c r="AV156" s="7" t="n">
        <f aca="false">AV155*(1+$D$38)</f>
        <v>11292.9570494441</v>
      </c>
      <c r="AW156" s="7" t="n">
        <f aca="false">AW155*(1+$D$38)</f>
        <v>12423.8980087718</v>
      </c>
      <c r="AX156" s="7" t="n">
        <f aca="false">AX155*(1+$D$38)</f>
        <v>13663.3027434547</v>
      </c>
      <c r="AY156" s="7" t="n">
        <f aca="false">AY155*(1+$D$38)</f>
        <v>14824.4948204761</v>
      </c>
      <c r="AZ156" s="7" t="n">
        <f aca="false">AZ155*(1+$D$38)</f>
        <v>15912.7696487085</v>
      </c>
      <c r="BA156" s="7" t="n">
        <f aca="false">BA155*(1+$D$38)</f>
        <v>16933.0391407341</v>
      </c>
      <c r="BB156" s="7" t="n">
        <f aca="false">BB155*(1+$D$38)</f>
        <v>17889.86116108</v>
      </c>
      <c r="BC156" s="7" t="n">
        <f aca="false">BC155*(1+$D$38)</f>
        <v>18787.4666047419</v>
      </c>
      <c r="BD156" s="7" t="n">
        <f aca="false">BD155*(1+$D$38)</f>
        <v>19629.7843034859</v>
      </c>
      <c r="BE156" s="7" t="n">
        <f aca="false">BE155*(1+$D$38)</f>
        <v>20420.4639405392</v>
      </c>
      <c r="BF156" s="7" t="n">
        <f aca="false">BF155*(1+$D$38)</f>
        <v>21162.8971388779</v>
      </c>
      <c r="BG156" s="7" t="n">
        <f aca="false">BG155*(1+$D$38)</f>
        <v>21860.2368742464</v>
      </c>
      <c r="BH156" s="7" t="n">
        <f aca="false">BH155*(1+$D$38)</f>
        <v>22515.4153511975</v>
      </c>
      <c r="BI156" s="7" t="n">
        <f aca="false">BI155*(1+$D$38)</f>
        <v>23131.1604687041</v>
      </c>
      <c r="BJ156" s="7" t="n">
        <f aca="false">BJ155*(1+$D$38)</f>
        <v>23710.0109911735</v>
      </c>
      <c r="BK156" s="7" t="n">
        <f aca="false">BK155*(1+$D$38)</f>
        <v>24254.3305309008</v>
      </c>
    </row>
    <row r="157" customFormat="false" ht="15" hidden="false" customHeight="false" outlineLevel="0" collapsed="false">
      <c r="A157" s="0" t="s">
        <v>198</v>
      </c>
      <c r="D157" s="7" t="n">
        <f aca="false">D156*12</f>
        <v>303.54588</v>
      </c>
      <c r="E157" s="7" t="n">
        <f aca="false">E156*12</f>
        <v>617.7476745</v>
      </c>
      <c r="F157" s="7" t="n">
        <f aca="false">F156*12</f>
        <v>945.04239114615</v>
      </c>
      <c r="G157" s="7" t="n">
        <f aca="false">G156*12</f>
        <v>1288.00888942515</v>
      </c>
      <c r="H157" s="7" t="n">
        <f aca="false">H156*12</f>
        <v>1649.39005045938</v>
      </c>
      <c r="I157" s="7" t="n">
        <f aca="false">I156*12</f>
        <v>2032.11651099266</v>
      </c>
      <c r="J157" s="7" t="n">
        <f aca="false">J156*12</f>
        <v>2439.33217301583</v>
      </c>
      <c r="K157" s="7" t="n">
        <f aca="false">K156*12</f>
        <v>2874.42171688646</v>
      </c>
      <c r="L157" s="7" t="n">
        <f aca="false">L156*12</f>
        <v>3341.04036425696</v>
      </c>
      <c r="M157" s="7" t="n">
        <f aca="false">M156*12</f>
        <v>3843.14615780906</v>
      </c>
      <c r="N157" s="7" t="n">
        <f aca="false">N156*12</f>
        <v>4385.03504788888</v>
      </c>
      <c r="O157" s="7" t="n">
        <f aca="false">O156*12</f>
        <v>4971.37910185706</v>
      </c>
      <c r="P157" s="7" t="n">
        <f aca="false">P156*12</f>
        <v>5607.26818054664</v>
      </c>
      <c r="Q157" s="7" t="n">
        <f aca="false">Q156*12</f>
        <v>6298.25545791891</v>
      </c>
      <c r="R157" s="7" t="n">
        <f aca="false">R156*12</f>
        <v>7050.40719511264</v>
      </c>
      <c r="S157" s="7" t="n">
        <f aca="false">S156*12</f>
        <v>7870.3572189154</v>
      </c>
      <c r="T157" s="7" t="n">
        <f aca="false">T156*12</f>
        <v>8765.36659760003</v>
      </c>
      <c r="U157" s="7" t="n">
        <f aca="false">U156*12</f>
        <v>9743.38905445621</v>
      </c>
      <c r="V157" s="7" t="n">
        <f aca="false">V156*12</f>
        <v>10813.1427116374</v>
      </c>
      <c r="W157" s="7" t="n">
        <f aca="false">W156*12</f>
        <v>11984.1888146137</v>
      </c>
      <c r="X157" s="7" t="n">
        <f aca="false">X156*12</f>
        <v>13267.0181510942</v>
      </c>
      <c r="Y157" s="7" t="n">
        <f aca="false">Y156*12</f>
        <v>14673.1459483409</v>
      </c>
      <c r="Z157" s="7" t="n">
        <f aca="false">Z156*12</f>
        <v>16215.2161099724</v>
      </c>
      <c r="AA157" s="7" t="n">
        <f aca="false">AA156*12</f>
        <v>17907.1157383534</v>
      </c>
      <c r="AB157" s="7" t="n">
        <f aca="false">AB156*12</f>
        <v>19764.100982262</v>
      </c>
      <c r="AC157" s="7" t="n">
        <f aca="false">AC156*12</f>
        <v>21802.9353525667</v>
      </c>
      <c r="AD157" s="7" t="n">
        <f aca="false">AD156*12</f>
        <v>24042.0417620679</v>
      </c>
      <c r="AE157" s="7" t="n">
        <f aca="false">AE156*12</f>
        <v>26501.6696704986</v>
      </c>
      <c r="AF157" s="7" t="n">
        <f aca="false">AF156*12</f>
        <v>29204.0788530669</v>
      </c>
      <c r="AG157" s="7" t="n">
        <f aca="false">AG156*12</f>
        <v>32173.7414621125</v>
      </c>
      <c r="AH157" s="7" t="n">
        <f aca="false">AH156*12</f>
        <v>35437.5642178094</v>
      </c>
      <c r="AI157" s="7" t="n">
        <f aca="false">AI156*12</f>
        <v>39025.1327468983</v>
      </c>
      <c r="AJ157" s="7" t="n">
        <f aca="false">AJ156*12</f>
        <v>42968.9802898294</v>
      </c>
      <c r="AK157" s="7" t="n">
        <f aca="false">AK156*12</f>
        <v>47304.8832182807</v>
      </c>
      <c r="AL157" s="7" t="n">
        <f aca="false">AL156*12</f>
        <v>52072.1860487933</v>
      </c>
      <c r="AM157" s="7" t="n">
        <f aca="false">AM156*12</f>
        <v>57314.1589064579</v>
      </c>
      <c r="AN157" s="7" t="n">
        <f aca="false">AN156*12</f>
        <v>63078.3906876292</v>
      </c>
      <c r="AO157" s="7" t="n">
        <f aca="false">AO156*12</f>
        <v>69417.2214952215</v>
      </c>
      <c r="AP157" s="7" t="n">
        <f aca="false">AP156*12</f>
        <v>76388.2182771983</v>
      </c>
      <c r="AQ157" s="7" t="n">
        <f aca="false">AQ156*12</f>
        <v>84054.6979916636</v>
      </c>
      <c r="AR157" s="7" t="n">
        <f aca="false">AR156*12</f>
        <v>92486.3030540521</v>
      </c>
      <c r="AS157" s="7" t="n">
        <f aca="false">AS156*12</f>
        <v>101759.63429724</v>
      </c>
      <c r="AT157" s="7" t="n">
        <f aca="false">AT156*12</f>
        <v>111958.947198275</v>
      </c>
      <c r="AU157" s="7" t="n">
        <f aca="false">AU156*12</f>
        <v>123176.917700595</v>
      </c>
      <c r="AV157" s="7" t="n">
        <f aca="false">AV156*12</f>
        <v>135515.484593329</v>
      </c>
      <c r="AW157" s="7" t="n">
        <f aca="false">AW156*12</f>
        <v>149086.776105262</v>
      </c>
      <c r="AX157" s="7" t="n">
        <f aca="false">AX156*12</f>
        <v>163959.632921457</v>
      </c>
      <c r="AY157" s="7" t="n">
        <f aca="false">AY156*12</f>
        <v>177893.937845714</v>
      </c>
      <c r="AZ157" s="7" t="n">
        <f aca="false">AZ156*12</f>
        <v>190953.235784501</v>
      </c>
      <c r="BA157" s="7" t="n">
        <f aca="false">BA156*12</f>
        <v>203196.469688809</v>
      </c>
      <c r="BB157" s="7" t="n">
        <f aca="false">BB156*12</f>
        <v>214678.33393296</v>
      </c>
      <c r="BC157" s="7" t="n">
        <f aca="false">BC156*12</f>
        <v>225449.599256903</v>
      </c>
      <c r="BD157" s="7" t="n">
        <f aca="false">BD156*12</f>
        <v>235557.411641831</v>
      </c>
      <c r="BE157" s="7" t="n">
        <f aca="false">BE156*12</f>
        <v>245045.567286471</v>
      </c>
      <c r="BF157" s="7" t="n">
        <f aca="false">BF156*12</f>
        <v>253954.765666535</v>
      </c>
      <c r="BG157" s="7" t="n">
        <f aca="false">BG156*12</f>
        <v>262322.842490957</v>
      </c>
      <c r="BH157" s="7" t="n">
        <f aca="false">BH156*12</f>
        <v>270184.98421437</v>
      </c>
      <c r="BI157" s="7" t="n">
        <f aca="false">BI156*12</f>
        <v>277573.925624449</v>
      </c>
      <c r="BJ157" s="7" t="n">
        <f aca="false">BJ156*12</f>
        <v>284520.131894081</v>
      </c>
      <c r="BK157" s="7" t="n">
        <f aca="false">BK156*12</f>
        <v>291051.96637081</v>
      </c>
    </row>
    <row r="158" customFormat="false" ht="15" hidden="false" customHeight="false" outlineLevel="0" collapsed="false">
      <c r="A158" s="0" t="s">
        <v>199</v>
      </c>
      <c r="D158" s="7" t="n">
        <f aca="false">(D147*$D$6+D148*$D$7+D149*$D$8)*$D$16*$D$17</f>
        <v>0.49599</v>
      </c>
      <c r="E158" s="7" t="n">
        <f aca="false">(E147*$D$6+E148*$D$7+E149*$D$8)*$D$16*$D$17</f>
        <v>0.545589</v>
      </c>
      <c r="F158" s="7" t="n">
        <f aca="false">(F147*$D$6+F148*$D$7+F149*$D$8)*$D$16*$D$17</f>
        <v>0.6001479</v>
      </c>
      <c r="G158" s="7" t="n">
        <f aca="false">(G147*$D$6+G148*$D$7+G149*$D$8)*$D$16*$D$17</f>
        <v>0.66016269</v>
      </c>
      <c r="H158" s="7" t="n">
        <f aca="false">(H147*$D$6+H148*$D$7+H149*$D$8)*$D$16*$D$17</f>
        <v>0.726178959</v>
      </c>
      <c r="I158" s="7" t="n">
        <f aca="false">(I147*$D$6+I148*$D$7+I149*$D$8)*$D$16*$D$17</f>
        <v>0.7987968549</v>
      </c>
      <c r="J158" s="7" t="n">
        <f aca="false">(J147*$D$6+J148*$D$7+J149*$D$8)*$D$16*$D$17</f>
        <v>0.87867654039</v>
      </c>
      <c r="K158" s="7" t="n">
        <f aca="false">(K147*$D$6+K148*$D$7+K149*$D$8)*$D$16*$D$17</f>
        <v>0.966544194429001</v>
      </c>
      <c r="L158" s="7" t="n">
        <f aca="false">(L147*$D$6+L148*$D$7+L149*$D$8)*$D$16*$D$17</f>
        <v>1.0631986138719</v>
      </c>
      <c r="M158" s="7" t="n">
        <f aca="false">(M147*$D$6+M148*$D$7+M149*$D$8)*$D$16*$D$17</f>
        <v>1.16951847525909</v>
      </c>
      <c r="N158" s="7" t="n">
        <f aca="false">(N147*$D$6+N148*$D$7+N149*$D$8)*$D$16*$D$17</f>
        <v>1.286470322785</v>
      </c>
      <c r="O158" s="7" t="n">
        <f aca="false">(O147*$D$6+O148*$D$7+O149*$D$8)*$D$16*$D$17</f>
        <v>1.4151173550635</v>
      </c>
      <c r="P158" s="7" t="n">
        <f aca="false">(P147*$D$6+P148*$D$7+P149*$D$8)*$D$16*$D$17</f>
        <v>1.55662909056985</v>
      </c>
      <c r="Q158" s="7" t="n">
        <f aca="false">(Q147*$D$6+Q148*$D$7+Q149*$D$8)*$D$16*$D$17</f>
        <v>1.71229199962684</v>
      </c>
      <c r="R158" s="7" t="n">
        <f aca="false">(R147*$D$6+R148*$D$7+R149*$D$8)*$D$16*$D$17</f>
        <v>1.88352119958952</v>
      </c>
      <c r="S158" s="7" t="n">
        <f aca="false">(S147*$D$6+S148*$D$7+S149*$D$8)*$D$16*$D$17</f>
        <v>2.07187331954847</v>
      </c>
      <c r="T158" s="7" t="n">
        <f aca="false">(T147*$D$6+T148*$D$7+T149*$D$8)*$D$16*$D$17</f>
        <v>2.27906065150332</v>
      </c>
      <c r="U158" s="7" t="n">
        <f aca="false">(U147*$D$6+U148*$D$7+U149*$D$8)*$D$16*$D$17</f>
        <v>2.50696671665365</v>
      </c>
      <c r="V158" s="7" t="n">
        <f aca="false">(V147*$D$6+V148*$D$7+V149*$D$8)*$D$16*$D$17</f>
        <v>2.75766338831902</v>
      </c>
      <c r="W158" s="7" t="n">
        <f aca="false">(W147*$D$6+W148*$D$7+W149*$D$8)*$D$16*$D$17</f>
        <v>3.03342972715092</v>
      </c>
      <c r="X158" s="7" t="n">
        <f aca="false">(X147*$D$6+X148*$D$7+X149*$D$8)*$D$16*$D$17</f>
        <v>3.33677269986601</v>
      </c>
      <c r="Y158" s="7" t="n">
        <f aca="false">(Y147*$D$6+Y148*$D$7+Y149*$D$8)*$D$16*$D$17</f>
        <v>3.67044996985261</v>
      </c>
      <c r="Z158" s="7" t="n">
        <f aca="false">(Z147*$D$6+Z148*$D$7+Z149*$D$8)*$D$16*$D$17</f>
        <v>4.03749496683787</v>
      </c>
      <c r="AA158" s="7" t="n">
        <f aca="false">(AA147*$D$6+AA148*$D$7+AA149*$D$8)*$D$16*$D$17</f>
        <v>4.44124446352166</v>
      </c>
      <c r="AB158" s="7" t="n">
        <f aca="false">(AB147*$D$6+AB148*$D$7+AB149*$D$8)*$D$16*$D$17</f>
        <v>4.88536890987383</v>
      </c>
      <c r="AC158" s="7" t="n">
        <f aca="false">(AC147*$D$6+AC148*$D$7+AC149*$D$8)*$D$16*$D$17</f>
        <v>5.37390580086121</v>
      </c>
      <c r="AD158" s="7" t="n">
        <f aca="false">(AD147*$D$6+AD148*$D$7+AD149*$D$8)*$D$16*$D$17</f>
        <v>5.91129638094733</v>
      </c>
      <c r="AE158" s="7" t="n">
        <f aca="false">(AE147*$D$6+AE148*$D$7+AE149*$D$8)*$D$16*$D$17</f>
        <v>6.50242601904207</v>
      </c>
      <c r="AF158" s="7" t="n">
        <f aca="false">(AF147*$D$6+AF148*$D$7+AF149*$D$8)*$D$16*$D$17</f>
        <v>7.15266862094627</v>
      </c>
      <c r="AG158" s="7" t="n">
        <f aca="false">(AG147*$D$6+AG148*$D$7+AG149*$D$8)*$D$16*$D$17</f>
        <v>7.8679354830409</v>
      </c>
      <c r="AH158" s="7" t="n">
        <f aca="false">(AH147*$D$6+AH148*$D$7+AH149*$D$8)*$D$16*$D$17</f>
        <v>8.65472903134499</v>
      </c>
      <c r="AI158" s="7" t="n">
        <f aca="false">(AI147*$D$6+AI148*$D$7+AI149*$D$8)*$D$16*$D$17</f>
        <v>9.52020193447949</v>
      </c>
      <c r="AJ158" s="7" t="n">
        <f aca="false">(AJ147*$D$6+AJ148*$D$7+AJ149*$D$8)*$D$16*$D$17</f>
        <v>10.4722221279274</v>
      </c>
      <c r="AK158" s="7" t="n">
        <f aca="false">(AK147*$D$6+AK148*$D$7+AK149*$D$8)*$D$16*$D$17</f>
        <v>11.5194443407202</v>
      </c>
      <c r="AL158" s="7" t="n">
        <f aca="false">(AL147*$D$6+AL148*$D$7+AL149*$D$8)*$D$16*$D$17</f>
        <v>12.6713887747922</v>
      </c>
      <c r="AM158" s="7" t="n">
        <f aca="false">(AM147*$D$6+AM148*$D$7+AM149*$D$8)*$D$16*$D$17</f>
        <v>13.9385276522714</v>
      </c>
      <c r="AN158" s="7" t="n">
        <f aca="false">(AN147*$D$6+AN148*$D$7+AN149*$D$8)*$D$16*$D$17</f>
        <v>15.3323804174986</v>
      </c>
      <c r="AO158" s="7" t="n">
        <f aca="false">(AO147*$D$6+AO148*$D$7+AO149*$D$8)*$D$16*$D$17</f>
        <v>16.8656184592484</v>
      </c>
      <c r="AP158" s="7" t="n">
        <f aca="false">(AP147*$D$6+AP148*$D$7+AP149*$D$8)*$D$16*$D$17</f>
        <v>18.5521803051733</v>
      </c>
      <c r="AQ158" s="7" t="n">
        <f aca="false">(AQ147*$D$6+AQ148*$D$7+AQ149*$D$8)*$D$16*$D$17</f>
        <v>20.4073983356906</v>
      </c>
      <c r="AR158" s="7" t="n">
        <f aca="false">(AR147*$D$6+AR148*$D$7+AR149*$D$8)*$D$16*$D$17</f>
        <v>22.4481381692597</v>
      </c>
      <c r="AS158" s="7" t="n">
        <f aca="false">(AS147*$D$6+AS148*$D$7+AS149*$D$8)*$D$16*$D$17</f>
        <v>24.6929519861856</v>
      </c>
      <c r="AT158" s="7" t="n">
        <f aca="false">(AT147*$D$6+AT148*$D$7+AT149*$D$8)*$D$16*$D$17</f>
        <v>27.1622471848042</v>
      </c>
      <c r="AU158" s="7" t="n">
        <f aca="false">(AU147*$D$6+AU148*$D$7+AU149*$D$8)*$D$16*$D$17</f>
        <v>29.8784719032846</v>
      </c>
      <c r="AV158" s="7" t="n">
        <f aca="false">(AV147*$D$6+AV148*$D$7+AV149*$D$8)*$D$16*$D$17</f>
        <v>32.8663190936131</v>
      </c>
      <c r="AW158" s="7" t="n">
        <f aca="false">(AW147*$D$6+AW148*$D$7+AW149*$D$8)*$D$16*$D$17</f>
        <v>36.1529510029744</v>
      </c>
      <c r="AX158" s="7" t="n">
        <f aca="false">(AX147*$D$6+AX148*$D$7+AX149*$D$8)*$D$16*$D$17</f>
        <v>39.6792</v>
      </c>
      <c r="AY158" s="7" t="n">
        <f aca="false">(AY147*$D$6+AY148*$D$7+AY149*$D$8)*$D$16*$D$17</f>
        <v>39.6792</v>
      </c>
      <c r="AZ158" s="7" t="n">
        <f aca="false">(AZ147*$D$6+AZ148*$D$7+AZ149*$D$8)*$D$16*$D$17</f>
        <v>39.6792</v>
      </c>
      <c r="BA158" s="7" t="n">
        <f aca="false">(BA147*$D$6+BA148*$D$7+BA149*$D$8)*$D$16*$D$17</f>
        <v>39.6792</v>
      </c>
      <c r="BB158" s="7" t="n">
        <f aca="false">(BB147*$D$6+BB148*$D$7+BB149*$D$8)*$D$16*$D$17</f>
        <v>39.6792</v>
      </c>
      <c r="BC158" s="7" t="n">
        <f aca="false">(BC147*$D$6+BC148*$D$7+BC149*$D$8)*$D$16*$D$17</f>
        <v>39.6792</v>
      </c>
      <c r="BD158" s="7" t="n">
        <f aca="false">(BD147*$D$6+BD148*$D$7+BD149*$D$8)*$D$16*$D$17</f>
        <v>39.6792</v>
      </c>
      <c r="BE158" s="7" t="n">
        <f aca="false">(BE147*$D$6+BE148*$D$7+BE149*$D$8)*$D$16*$D$17</f>
        <v>39.6792</v>
      </c>
      <c r="BF158" s="7" t="n">
        <f aca="false">(BF147*$D$6+BF148*$D$7+BF149*$D$8)*$D$16*$D$17</f>
        <v>39.6792</v>
      </c>
      <c r="BG158" s="7" t="n">
        <f aca="false">(BG147*$D$6+BG148*$D$7+BG149*$D$8)*$D$16*$D$17</f>
        <v>39.6792</v>
      </c>
      <c r="BH158" s="7" t="n">
        <f aca="false">(BH147*$D$6+BH148*$D$7+BH149*$D$8)*$D$16*$D$17</f>
        <v>39.6792</v>
      </c>
      <c r="BI158" s="7" t="n">
        <f aca="false">(BI147*$D$6+BI148*$D$7+BI149*$D$8)*$D$16*$D$17</f>
        <v>39.6792</v>
      </c>
      <c r="BJ158" s="7" t="n">
        <f aca="false">(BJ147*$D$6+BJ148*$D$7+BJ149*$D$8)*$D$16*$D$17</f>
        <v>39.6792</v>
      </c>
      <c r="BK158" s="7" t="n">
        <f aca="false">(BK147*$D$6+BK148*$D$7+BK149*$D$8)*$D$16*$D$17</f>
        <v>39.6792</v>
      </c>
    </row>
    <row r="159" customFormat="false" ht="15" hidden="false" customHeight="false" outlineLevel="0" collapsed="false">
      <c r="A159" s="0" t="s">
        <v>200</v>
      </c>
      <c r="D159" s="7" t="n">
        <f aca="false">D156-D158</f>
        <v>24.7995</v>
      </c>
      <c r="E159" s="7" t="n">
        <f aca="false">E156-E158</f>
        <v>50.933383875</v>
      </c>
      <c r="F159" s="7" t="n">
        <f aca="false">F156-F158</f>
        <v>78.1533846955125</v>
      </c>
      <c r="G159" s="7" t="n">
        <f aca="false">G156-G158</f>
        <v>106.673911428763</v>
      </c>
      <c r="H159" s="7" t="n">
        <f aca="false">H156-H158</f>
        <v>136.722991912615</v>
      </c>
      <c r="I159" s="7" t="n">
        <f aca="false">I156-I158</f>
        <v>168.544245727821</v>
      </c>
      <c r="J159" s="7" t="n">
        <f aca="false">J156-J158</f>
        <v>202.399004544262</v>
      </c>
      <c r="K159" s="7" t="n">
        <f aca="false">K156-K158</f>
        <v>238.568598879442</v>
      </c>
      <c r="L159" s="7" t="n">
        <f aca="false">L156-L158</f>
        <v>277.356831740875</v>
      </c>
      <c r="M159" s="7" t="n">
        <f aca="false">M156-M158</f>
        <v>319.092661342163</v>
      </c>
      <c r="N159" s="7" t="n">
        <f aca="false">N156-N158</f>
        <v>364.133117001288</v>
      </c>
      <c r="O159" s="7" t="n">
        <f aca="false">O156-O158</f>
        <v>412.866474466358</v>
      </c>
      <c r="P159" s="7" t="n">
        <f aca="false">P156-P158</f>
        <v>465.715719288317</v>
      </c>
      <c r="Q159" s="7" t="n">
        <f aca="false">Q156-Q158</f>
        <v>523.142329493616</v>
      </c>
      <c r="R159" s="7" t="n">
        <f aca="false">R156-R158</f>
        <v>585.650411726464</v>
      </c>
      <c r="S159" s="7" t="n">
        <f aca="false">S156-S158</f>
        <v>653.791228256735</v>
      </c>
      <c r="T159" s="7" t="n">
        <f aca="false">T156-T158</f>
        <v>728.168155815166</v>
      </c>
      <c r="U159" s="7" t="n">
        <f aca="false">U156-U158</f>
        <v>809.442121154697</v>
      </c>
      <c r="V159" s="7" t="n">
        <f aca="false">V156-V158</f>
        <v>898.337562581468</v>
      </c>
      <c r="W159" s="7" t="n">
        <f aca="false">W156-W158</f>
        <v>995.648971490658</v>
      </c>
      <c r="X159" s="7" t="n">
        <f aca="false">X156-X158</f>
        <v>1102.24807322465</v>
      </c>
      <c r="Y159" s="7" t="n">
        <f aca="false">Y156-Y158</f>
        <v>1219.09171239189</v>
      </c>
      <c r="Z159" s="7" t="n">
        <f aca="false">Z156-Z158</f>
        <v>1347.23051419753</v>
      </c>
      <c r="AA159" s="7" t="n">
        <f aca="false">AA156-AA158</f>
        <v>1487.81840039926</v>
      </c>
      <c r="AB159" s="7" t="n">
        <f aca="false">AB156-AB158</f>
        <v>1642.12304627862</v>
      </c>
      <c r="AC159" s="7" t="n">
        <f aca="false">AC156-AC158</f>
        <v>1811.53737357969</v>
      </c>
      <c r="AD159" s="7" t="n">
        <f aca="false">AD156-AD158</f>
        <v>1997.59218379138</v>
      </c>
      <c r="AE159" s="7" t="n">
        <f aca="false">AE156-AE158</f>
        <v>2201.97004652251</v>
      </c>
      <c r="AF159" s="7" t="n">
        <f aca="false">AF156-AF158</f>
        <v>2426.52056913463</v>
      </c>
      <c r="AG159" s="7" t="n">
        <f aca="false">AG156-AG158</f>
        <v>2673.27718635967</v>
      </c>
      <c r="AH159" s="7" t="n">
        <f aca="false">AH156-AH158</f>
        <v>2944.47562245277</v>
      </c>
      <c r="AI159" s="7" t="n">
        <f aca="false">AI156-AI158</f>
        <v>3242.57419364038</v>
      </c>
      <c r="AJ159" s="7" t="n">
        <f aca="false">AJ156-AJ158</f>
        <v>3570.27613535786</v>
      </c>
      <c r="AK159" s="7" t="n">
        <f aca="false">AK156-AK158</f>
        <v>3930.55415718267</v>
      </c>
      <c r="AL159" s="7" t="n">
        <f aca="false">AL156-AL158</f>
        <v>4326.67744862465</v>
      </c>
      <c r="AM159" s="7" t="n">
        <f aca="false">AM156-AM158</f>
        <v>4762.24138121922</v>
      </c>
      <c r="AN159" s="7" t="n">
        <f aca="false">AN156-AN158</f>
        <v>5241.20017688494</v>
      </c>
      <c r="AO159" s="7" t="n">
        <f aca="false">AO156-AO158</f>
        <v>5767.90283947588</v>
      </c>
      <c r="AP159" s="7" t="n">
        <f aca="false">AP156-AP158</f>
        <v>6347.13267612802</v>
      </c>
      <c r="AQ159" s="7" t="n">
        <f aca="false">AQ156-AQ158</f>
        <v>6984.15076763628</v>
      </c>
      <c r="AR159" s="7" t="n">
        <f aca="false">AR156-AR158</f>
        <v>7684.74378300175</v>
      </c>
      <c r="AS159" s="7" t="n">
        <f aca="false">AS156-AS158</f>
        <v>8455.27657278382</v>
      </c>
      <c r="AT159" s="7" t="n">
        <f aca="false">AT156-AT158</f>
        <v>9302.7500193381</v>
      </c>
      <c r="AU159" s="7" t="n">
        <f aca="false">AU156-AU158</f>
        <v>10234.8646698129</v>
      </c>
      <c r="AV159" s="7" t="n">
        <f aca="false">AV156-AV158</f>
        <v>11260.0907303504</v>
      </c>
      <c r="AW159" s="7" t="n">
        <f aca="false">AW156-AW158</f>
        <v>12387.7450577688</v>
      </c>
      <c r="AX159" s="7" t="n">
        <f aca="false">AX156-AX158</f>
        <v>13623.6235434547</v>
      </c>
      <c r="AY159" s="7" t="n">
        <f aca="false">AY156-AY158</f>
        <v>14784.8156204761</v>
      </c>
      <c r="AZ159" s="7" t="n">
        <f aca="false">AZ156-AZ158</f>
        <v>15873.0904487085</v>
      </c>
      <c r="BA159" s="7" t="n">
        <f aca="false">BA156-BA158</f>
        <v>16893.3599407341</v>
      </c>
      <c r="BB159" s="7" t="n">
        <f aca="false">BB156-BB158</f>
        <v>17850.18196108</v>
      </c>
      <c r="BC159" s="7" t="n">
        <f aca="false">BC156-BC158</f>
        <v>18747.7874047419</v>
      </c>
      <c r="BD159" s="7" t="n">
        <f aca="false">BD156-BD158</f>
        <v>19590.1051034859</v>
      </c>
      <c r="BE159" s="7" t="n">
        <f aca="false">BE156-BE158</f>
        <v>20380.7847405392</v>
      </c>
      <c r="BF159" s="7" t="n">
        <f aca="false">BF156-BF158</f>
        <v>21123.2179388779</v>
      </c>
      <c r="BG159" s="7" t="n">
        <f aca="false">BG156-BG158</f>
        <v>21820.5576742464</v>
      </c>
      <c r="BH159" s="7" t="n">
        <f aca="false">BH156-BH158</f>
        <v>22475.7361511975</v>
      </c>
      <c r="BI159" s="7" t="n">
        <f aca="false">BI156-BI158</f>
        <v>23091.4812687041</v>
      </c>
      <c r="BJ159" s="7" t="n">
        <f aca="false">BJ156-BJ158</f>
        <v>23670.3317911735</v>
      </c>
      <c r="BK159" s="7" t="n">
        <f aca="false">BK156-BK158</f>
        <v>24214.6513309008</v>
      </c>
    </row>
    <row r="160" customFormat="false" ht="15" hidden="false" customHeight="false" outlineLevel="0" collapsed="false">
      <c r="A160" s="0" t="s">
        <v>201</v>
      </c>
      <c r="D160" s="7" t="n">
        <f aca="false">D159*$D$15</f>
        <v>0.743985</v>
      </c>
      <c r="E160" s="7" t="n">
        <f aca="false">E159*$D$15</f>
        <v>1.52800151625</v>
      </c>
      <c r="F160" s="7" t="n">
        <f aca="false">F159*$D$15</f>
        <v>2.34460154086538</v>
      </c>
      <c r="G160" s="7" t="n">
        <f aca="false">G159*$D$15</f>
        <v>3.20021734286288</v>
      </c>
      <c r="H160" s="7" t="n">
        <f aca="false">H159*$D$15</f>
        <v>4.10168975737845</v>
      </c>
      <c r="I160" s="7" t="n">
        <f aca="false">I159*$D$15</f>
        <v>5.05632737183464</v>
      </c>
      <c r="J160" s="7" t="n">
        <f aca="false">J159*$D$15</f>
        <v>6.07197013632787</v>
      </c>
      <c r="K160" s="7" t="n">
        <f aca="false">K159*$D$15</f>
        <v>7.15705796638327</v>
      </c>
      <c r="L160" s="7" t="n">
        <f aca="false">L159*$D$15</f>
        <v>8.32070495222625</v>
      </c>
      <c r="M160" s="7" t="n">
        <f aca="false">M159*$D$15</f>
        <v>9.57277984026488</v>
      </c>
      <c r="N160" s="7" t="n">
        <f aca="false">N159*$D$15</f>
        <v>10.9239935100386</v>
      </c>
      <c r="O160" s="7" t="n">
        <f aca="false">O159*$D$15</f>
        <v>12.3859942339907</v>
      </c>
      <c r="P160" s="7" t="n">
        <f aca="false">P159*$D$15</f>
        <v>13.9714715786495</v>
      </c>
      <c r="Q160" s="7" t="n">
        <f aca="false">Q159*$D$15</f>
        <v>15.6942698848085</v>
      </c>
      <c r="R160" s="7" t="n">
        <f aca="false">R159*$D$15</f>
        <v>17.5695123517939</v>
      </c>
      <c r="S160" s="7" t="n">
        <f aca="false">S159*$D$15</f>
        <v>19.613736847702</v>
      </c>
      <c r="T160" s="7" t="n">
        <f aca="false">T159*$D$15</f>
        <v>21.845044674455</v>
      </c>
      <c r="U160" s="7" t="n">
        <f aca="false">U159*$D$15</f>
        <v>24.2832636346409</v>
      </c>
      <c r="V160" s="7" t="n">
        <f aca="false">V159*$D$15</f>
        <v>26.950126877444</v>
      </c>
      <c r="W160" s="7" t="n">
        <f aca="false">W159*$D$15</f>
        <v>29.8694691447198</v>
      </c>
      <c r="X160" s="7" t="n">
        <f aca="false">X159*$D$15</f>
        <v>33.0674421967394</v>
      </c>
      <c r="Y160" s="7" t="n">
        <f aca="false">Y159*$D$15</f>
        <v>36.5727513717567</v>
      </c>
      <c r="Z160" s="7" t="n">
        <f aca="false">Z159*$D$15</f>
        <v>40.416915425926</v>
      </c>
      <c r="AA160" s="7" t="n">
        <f aca="false">AA159*$D$15</f>
        <v>44.6345520119778</v>
      </c>
      <c r="AB160" s="7" t="n">
        <f aca="false">AB159*$D$15</f>
        <v>49.2636913883587</v>
      </c>
      <c r="AC160" s="7" t="n">
        <f aca="false">AC159*$D$15</f>
        <v>54.3461212073908</v>
      </c>
      <c r="AD160" s="7" t="n">
        <f aca="false">AD159*$D$15</f>
        <v>59.9277655137414</v>
      </c>
      <c r="AE160" s="7" t="n">
        <f aca="false">AE159*$D$15</f>
        <v>66.0591013956753</v>
      </c>
      <c r="AF160" s="7" t="n">
        <f aca="false">AF159*$D$15</f>
        <v>72.7956170740389</v>
      </c>
      <c r="AG160" s="7" t="n">
        <f aca="false">AG159*$D$15</f>
        <v>80.19831559079</v>
      </c>
      <c r="AH160" s="7" t="n">
        <f aca="false">AH159*$D$15</f>
        <v>88.3342686735832</v>
      </c>
      <c r="AI160" s="7" t="n">
        <f aca="false">AI159*$D$15</f>
        <v>97.2772258092113</v>
      </c>
      <c r="AJ160" s="7" t="n">
        <f aca="false">AJ159*$D$15</f>
        <v>107.108284060736</v>
      </c>
      <c r="AK160" s="7" t="n">
        <f aca="false">AK159*$D$15</f>
        <v>117.91662471548</v>
      </c>
      <c r="AL160" s="7" t="n">
        <f aca="false">AL159*$D$15</f>
        <v>129.800323458739</v>
      </c>
      <c r="AM160" s="7" t="n">
        <f aca="false">AM159*$D$15</f>
        <v>142.867241436577</v>
      </c>
      <c r="AN160" s="7" t="n">
        <f aca="false">AN159*$D$15</f>
        <v>157.236005306548</v>
      </c>
      <c r="AO160" s="7" t="n">
        <f aca="false">AO159*$D$15</f>
        <v>173.037085184276</v>
      </c>
      <c r="AP160" s="7" t="n">
        <f aca="false">AP159*$D$15</f>
        <v>190.413980283841</v>
      </c>
      <c r="AQ160" s="7" t="n">
        <f aca="false">AQ159*$D$15</f>
        <v>209.524523029088</v>
      </c>
      <c r="AR160" s="7" t="n">
        <f aca="false">AR159*$D$15</f>
        <v>230.542313490052</v>
      </c>
      <c r="AS160" s="7" t="n">
        <f aca="false">AS159*$D$15</f>
        <v>253.658297183515</v>
      </c>
      <c r="AT160" s="7" t="n">
        <f aca="false">AT159*$D$15</f>
        <v>279.082500580143</v>
      </c>
      <c r="AU160" s="7" t="n">
        <f aca="false">AU159*$D$15</f>
        <v>307.045940094388</v>
      </c>
      <c r="AV160" s="7" t="n">
        <f aca="false">AV159*$D$15</f>
        <v>337.802721910513</v>
      </c>
      <c r="AW160" s="7" t="n">
        <f aca="false">AW159*$D$15</f>
        <v>371.632351733065</v>
      </c>
      <c r="AX160" s="7" t="n">
        <f aca="false">AX159*$D$15</f>
        <v>408.708706303642</v>
      </c>
      <c r="AY160" s="7" t="n">
        <f aca="false">AY159*$D$15</f>
        <v>443.544468614284</v>
      </c>
      <c r="AZ160" s="7" t="n">
        <f aca="false">AZ159*$D$15</f>
        <v>476.192713461254</v>
      </c>
      <c r="BA160" s="7" t="n">
        <f aca="false">BA159*$D$15</f>
        <v>506.800798222023</v>
      </c>
      <c r="BB160" s="7" t="n">
        <f aca="false">BB159*$D$15</f>
        <v>535.5054588324</v>
      </c>
      <c r="BC160" s="7" t="n">
        <f aca="false">BC159*$D$15</f>
        <v>562.433622142258</v>
      </c>
      <c r="BD160" s="7" t="n">
        <f aca="false">BD159*$D$15</f>
        <v>587.703153104577</v>
      </c>
      <c r="BE160" s="7" t="n">
        <f aca="false">BE159*$D$15</f>
        <v>611.423542216177</v>
      </c>
      <c r="BF160" s="7" t="n">
        <f aca="false">BF159*$D$15</f>
        <v>633.696538166338</v>
      </c>
      <c r="BG160" s="7" t="n">
        <f aca="false">BG159*$D$15</f>
        <v>654.616730227392</v>
      </c>
      <c r="BH160" s="7" t="n">
        <f aca="false">BH159*$D$15</f>
        <v>674.272084535924</v>
      </c>
      <c r="BI160" s="7" t="n">
        <f aca="false">BI159*$D$15</f>
        <v>692.744438061122</v>
      </c>
      <c r="BJ160" s="7" t="n">
        <f aca="false">BJ159*$D$15</f>
        <v>710.109953735204</v>
      </c>
      <c r="BK160" s="7" t="n">
        <f aca="false">BK159*$D$15</f>
        <v>726.439539927025</v>
      </c>
    </row>
    <row r="161" customFormat="false" ht="15" hidden="false" customHeight="false" outlineLevel="0" collapsed="false">
      <c r="A161" s="6" t="s">
        <v>43</v>
      </c>
      <c r="D161" s="7" t="n">
        <f aca="false">D159-D160</f>
        <v>24.055515</v>
      </c>
      <c r="E161" s="7" t="n">
        <f aca="false">E159-E160</f>
        <v>49.40538235875</v>
      </c>
      <c r="F161" s="7" t="n">
        <f aca="false">F159-F160</f>
        <v>75.8087831546471</v>
      </c>
      <c r="G161" s="7" t="n">
        <f aca="false">G159-G160</f>
        <v>103.4736940859</v>
      </c>
      <c r="H161" s="7" t="n">
        <f aca="false">H159-H160</f>
        <v>132.621302155236</v>
      </c>
      <c r="I161" s="7" t="n">
        <f aca="false">I159-I160</f>
        <v>163.487918355987</v>
      </c>
      <c r="J161" s="7" t="n">
        <f aca="false">J159-J160</f>
        <v>196.327034407934</v>
      </c>
      <c r="K161" s="7" t="n">
        <f aca="false">K159-K160</f>
        <v>231.411540913059</v>
      </c>
      <c r="L161" s="7" t="n">
        <f aca="false">L159-L160</f>
        <v>269.036126788649</v>
      </c>
      <c r="M161" s="7" t="n">
        <f aca="false">M159-M160</f>
        <v>309.519881501898</v>
      </c>
      <c r="N161" s="7" t="n">
        <f aca="false">N159-N160</f>
        <v>353.20912349125</v>
      </c>
      <c r="O161" s="7" t="n">
        <f aca="false">O159-O160</f>
        <v>400.480480232367</v>
      </c>
      <c r="P161" s="7" t="n">
        <f aca="false">P159-P160</f>
        <v>451.744247709667</v>
      </c>
      <c r="Q161" s="7" t="n">
        <f aca="false">Q159-Q160</f>
        <v>507.448059608807</v>
      </c>
      <c r="R161" s="7" t="n">
        <f aca="false">R159-R160</f>
        <v>568.08089937467</v>
      </c>
      <c r="S161" s="7" t="n">
        <f aca="false">S159-S160</f>
        <v>634.177491409033</v>
      </c>
      <c r="T161" s="7" t="n">
        <f aca="false">T159-T160</f>
        <v>706.323111140711</v>
      </c>
      <c r="U161" s="7" t="n">
        <f aca="false">U159-U160</f>
        <v>785.158857520056</v>
      </c>
      <c r="V161" s="7" t="n">
        <f aca="false">V159-V160</f>
        <v>871.387435704024</v>
      </c>
      <c r="W161" s="7" t="n">
        <f aca="false">W159-W160</f>
        <v>965.779502345939</v>
      </c>
      <c r="X161" s="7" t="n">
        <f aca="false">X159-X160</f>
        <v>1069.18063102791</v>
      </c>
      <c r="Y161" s="7" t="n">
        <f aca="false">Y159-Y160</f>
        <v>1182.51896102013</v>
      </c>
      <c r="Z161" s="7" t="n">
        <f aca="false">Z159-Z160</f>
        <v>1306.81359877161</v>
      </c>
      <c r="AA161" s="7" t="n">
        <f aca="false">AA159-AA160</f>
        <v>1443.18384838728</v>
      </c>
      <c r="AB161" s="7" t="n">
        <f aca="false">AB159-AB160</f>
        <v>1592.85935489026</v>
      </c>
      <c r="AC161" s="7" t="n">
        <f aca="false">AC159-AC160</f>
        <v>1757.1912523723</v>
      </c>
      <c r="AD161" s="7" t="n">
        <f aca="false">AD159-AD160</f>
        <v>1937.66441827764</v>
      </c>
      <c r="AE161" s="7" t="n">
        <f aca="false">AE159-AE160</f>
        <v>2135.91094512683</v>
      </c>
      <c r="AF161" s="7" t="n">
        <f aca="false">AF159-AF160</f>
        <v>2353.72495206059</v>
      </c>
      <c r="AG161" s="7" t="n">
        <f aca="false">AG159-AG160</f>
        <v>2593.07887076888</v>
      </c>
      <c r="AH161" s="7" t="n">
        <f aca="false">AH159-AH160</f>
        <v>2856.14135377919</v>
      </c>
      <c r="AI161" s="7" t="n">
        <f aca="false">AI159-AI160</f>
        <v>3145.29696783117</v>
      </c>
      <c r="AJ161" s="7" t="n">
        <f aca="false">AJ159-AJ160</f>
        <v>3463.16785129712</v>
      </c>
      <c r="AK161" s="7" t="n">
        <f aca="false">AK159-AK160</f>
        <v>3812.63753246719</v>
      </c>
      <c r="AL161" s="7" t="n">
        <f aca="false">AL159-AL160</f>
        <v>4196.87712516591</v>
      </c>
      <c r="AM161" s="7" t="n">
        <f aca="false">AM159-AM160</f>
        <v>4619.37413978264</v>
      </c>
      <c r="AN161" s="7" t="n">
        <f aca="false">AN159-AN160</f>
        <v>5083.96417157839</v>
      </c>
      <c r="AO161" s="7" t="n">
        <f aca="false">AO159-AO160</f>
        <v>5594.8657542916</v>
      </c>
      <c r="AP161" s="7" t="n">
        <f aca="false">AP159-AP160</f>
        <v>6156.71869584418</v>
      </c>
      <c r="AQ161" s="7" t="n">
        <f aca="false">AQ159-AQ160</f>
        <v>6774.62624460719</v>
      </c>
      <c r="AR161" s="7" t="n">
        <f aca="false">AR159-AR160</f>
        <v>7454.20146951169</v>
      </c>
      <c r="AS161" s="7" t="n">
        <f aca="false">AS159-AS160</f>
        <v>8201.61827560031</v>
      </c>
      <c r="AT161" s="7" t="n">
        <f aca="false">AT159-AT160</f>
        <v>9023.66751875796</v>
      </c>
      <c r="AU161" s="7" t="n">
        <f aca="false">AU159-AU160</f>
        <v>9927.81872971854</v>
      </c>
      <c r="AV161" s="7" t="n">
        <f aca="false">AV159-AV160</f>
        <v>10922.2880084399</v>
      </c>
      <c r="AW161" s="7" t="n">
        <f aca="false">AW159-AW160</f>
        <v>12016.1127060358</v>
      </c>
      <c r="AX161" s="7" t="n">
        <f aca="false">AX159-AX160</f>
        <v>13214.9148371511</v>
      </c>
      <c r="AY161" s="7" t="n">
        <f aca="false">AY159-AY160</f>
        <v>14341.2711518618</v>
      </c>
      <c r="AZ161" s="7" t="n">
        <f aca="false">AZ159-AZ160</f>
        <v>15396.8977352472</v>
      </c>
      <c r="BA161" s="7" t="n">
        <f aca="false">BA159-BA160</f>
        <v>16386.5591425121</v>
      </c>
      <c r="BB161" s="7" t="n">
        <f aca="false">BB159-BB160</f>
        <v>17314.6765022476</v>
      </c>
      <c r="BC161" s="7" t="n">
        <f aca="false">BC159-BC160</f>
        <v>18185.3537825997</v>
      </c>
      <c r="BD161" s="7" t="n">
        <f aca="false">BD159-BD160</f>
        <v>19002.4019503813</v>
      </c>
      <c r="BE161" s="7" t="n">
        <f aca="false">BE159-BE160</f>
        <v>19769.3611983231</v>
      </c>
      <c r="BF161" s="7" t="n">
        <f aca="false">BF159-BF160</f>
        <v>20489.5214007116</v>
      </c>
      <c r="BG161" s="7" t="n">
        <f aca="false">BG159-BG160</f>
        <v>21165.940944019</v>
      </c>
      <c r="BH161" s="7" t="n">
        <f aca="false">BH159-BH160</f>
        <v>21801.4640666615</v>
      </c>
      <c r="BI161" s="7" t="n">
        <f aca="false">BI159-BI160</f>
        <v>22398.7368306429</v>
      </c>
      <c r="BJ161" s="7" t="n">
        <f aca="false">BJ159-BJ160</f>
        <v>22960.2218374383</v>
      </c>
      <c r="BK161" s="7" t="n">
        <f aca="false">BK159-BK160</f>
        <v>23488.2117909738</v>
      </c>
    </row>
    <row r="162" customFormat="false" ht="15" hidden="false" customHeight="false" outlineLevel="0" collapsed="false">
      <c r="A162" s="0" t="s">
        <v>202</v>
      </c>
      <c r="D162" s="7" t="n">
        <f aca="false">$D$60*$D$61</f>
        <v>0</v>
      </c>
      <c r="E162" s="7" t="n">
        <f aca="false">$D$60*$D$61</f>
        <v>0</v>
      </c>
      <c r="F162" s="7" t="n">
        <f aca="false">$D$60*$D$61</f>
        <v>0</v>
      </c>
      <c r="G162" s="7" t="n">
        <f aca="false">$D$60*$D$61</f>
        <v>0</v>
      </c>
      <c r="H162" s="7" t="n">
        <f aca="false">$D$60*$D$61</f>
        <v>0</v>
      </c>
      <c r="I162" s="7" t="n">
        <f aca="false">$D$60*$D$61</f>
        <v>0</v>
      </c>
      <c r="J162" s="7" t="n">
        <f aca="false">$D$60*$D$61</f>
        <v>0</v>
      </c>
      <c r="K162" s="7" t="n">
        <f aca="false">$D$60*$D$61</f>
        <v>0</v>
      </c>
      <c r="L162" s="7" t="n">
        <f aca="false">$D$60*$D$61</f>
        <v>0</v>
      </c>
      <c r="M162" s="7" t="n">
        <f aca="false">$D$60*$D$61</f>
        <v>0</v>
      </c>
      <c r="N162" s="7" t="n">
        <f aca="false">$D$60*$D$61</f>
        <v>0</v>
      </c>
      <c r="O162" s="7" t="n">
        <f aca="false">$D$60*$D$61</f>
        <v>0</v>
      </c>
      <c r="P162" s="7" t="n">
        <f aca="false">$D$60*$D$61</f>
        <v>0</v>
      </c>
      <c r="Q162" s="7" t="n">
        <f aca="false">$D$60*$D$61</f>
        <v>0</v>
      </c>
      <c r="R162" s="7" t="n">
        <f aca="false">$D$60*$D$61</f>
        <v>0</v>
      </c>
      <c r="S162" s="7" t="n">
        <f aca="false">$D$60*$D$61</f>
        <v>0</v>
      </c>
      <c r="T162" s="7" t="n">
        <f aca="false">$D$60*$D$61</f>
        <v>0</v>
      </c>
      <c r="U162" s="7" t="n">
        <f aca="false">$D$60*$D$61</f>
        <v>0</v>
      </c>
      <c r="V162" s="7" t="n">
        <f aca="false">$D$60*$D$61</f>
        <v>0</v>
      </c>
      <c r="W162" s="7" t="n">
        <f aca="false">$D$60*$D$61</f>
        <v>0</v>
      </c>
      <c r="X162" s="7" t="n">
        <f aca="false">$D$60*$D$61</f>
        <v>0</v>
      </c>
      <c r="Y162" s="7" t="n">
        <f aca="false">$D$60*$D$61</f>
        <v>0</v>
      </c>
      <c r="Z162" s="7" t="n">
        <f aca="false">$D$60*$D$61</f>
        <v>0</v>
      </c>
      <c r="AA162" s="7" t="n">
        <f aca="false">$D$60*$D$61</f>
        <v>0</v>
      </c>
      <c r="AB162" s="7" t="n">
        <f aca="false">$D$60*$D$61</f>
        <v>0</v>
      </c>
      <c r="AC162" s="7" t="n">
        <f aca="false">$D$60*$D$61</f>
        <v>0</v>
      </c>
      <c r="AD162" s="7" t="n">
        <f aca="false">$D$60*$D$61</f>
        <v>0</v>
      </c>
      <c r="AE162" s="7" t="n">
        <f aca="false">$D$60*$D$61</f>
        <v>0</v>
      </c>
      <c r="AF162" s="7" t="n">
        <f aca="false">$D$60*$D$61</f>
        <v>0</v>
      </c>
      <c r="AG162" s="7" t="n">
        <f aca="false">$D$60*$D$61</f>
        <v>0</v>
      </c>
      <c r="AH162" s="7" t="n">
        <f aca="false">$D$60*$D$61</f>
        <v>0</v>
      </c>
      <c r="AI162" s="7" t="n">
        <f aca="false">$D$60*$D$61</f>
        <v>0</v>
      </c>
      <c r="AJ162" s="7" t="n">
        <f aca="false">$D$60*$D$61</f>
        <v>0</v>
      </c>
      <c r="AK162" s="7" t="n">
        <f aca="false">$D$60*$D$61</f>
        <v>0</v>
      </c>
      <c r="AL162" s="7" t="n">
        <f aca="false">$D$60*$D$61</f>
        <v>0</v>
      </c>
      <c r="AM162" s="7" t="n">
        <f aca="false">$D$60*$D$61</f>
        <v>0</v>
      </c>
      <c r="AN162" s="7" t="n">
        <f aca="false">$D$60*$D$61</f>
        <v>0</v>
      </c>
      <c r="AO162" s="7" t="n">
        <f aca="false">$D$60*$D$61</f>
        <v>0</v>
      </c>
      <c r="AP162" s="7" t="n">
        <f aca="false">$D$60*$D$61</f>
        <v>0</v>
      </c>
      <c r="AQ162" s="7" t="n">
        <f aca="false">$D$60*$D$61</f>
        <v>0</v>
      </c>
      <c r="AR162" s="7" t="n">
        <f aca="false">$D$60*$D$61</f>
        <v>0</v>
      </c>
      <c r="AS162" s="7" t="n">
        <f aca="false">$D$60*$D$61</f>
        <v>0</v>
      </c>
      <c r="AT162" s="7" t="n">
        <f aca="false">$D$60*$D$61</f>
        <v>0</v>
      </c>
      <c r="AU162" s="7" t="n">
        <f aca="false">$D$60*$D$61</f>
        <v>0</v>
      </c>
      <c r="AV162" s="7" t="n">
        <f aca="false">$D$60*$D$61</f>
        <v>0</v>
      </c>
      <c r="AW162" s="7" t="n">
        <f aca="false">$D$60*$D$61</f>
        <v>0</v>
      </c>
      <c r="AX162" s="7" t="n">
        <f aca="false">$D$60*$D$61</f>
        <v>0</v>
      </c>
      <c r="AY162" s="7" t="n">
        <f aca="false">$D$60*$D$61</f>
        <v>0</v>
      </c>
      <c r="AZ162" s="7" t="n">
        <f aca="false">$D$60*$D$61</f>
        <v>0</v>
      </c>
      <c r="BA162" s="7" t="n">
        <f aca="false">$D$60*$D$61</f>
        <v>0</v>
      </c>
      <c r="BB162" s="7" t="n">
        <f aca="false">$D$60*$D$61</f>
        <v>0</v>
      </c>
      <c r="BC162" s="7" t="n">
        <f aca="false">$D$60*$D$61</f>
        <v>0</v>
      </c>
      <c r="BD162" s="7" t="n">
        <f aca="false">$D$60*$D$61</f>
        <v>0</v>
      </c>
      <c r="BE162" s="7" t="n">
        <f aca="false">$D$60*$D$61</f>
        <v>0</v>
      </c>
      <c r="BF162" s="7" t="n">
        <f aca="false">$D$60*$D$61</f>
        <v>0</v>
      </c>
      <c r="BG162" s="7" t="n">
        <f aca="false">$D$60*$D$61</f>
        <v>0</v>
      </c>
      <c r="BH162" s="7" t="n">
        <f aca="false">$D$60*$D$61</f>
        <v>0</v>
      </c>
      <c r="BI162" s="7" t="n">
        <f aca="false">$D$60*$D$61</f>
        <v>0</v>
      </c>
      <c r="BJ162" s="7" t="n">
        <f aca="false">$D$60*$D$61</f>
        <v>0</v>
      </c>
      <c r="BK162" s="7" t="n">
        <f aca="false">$D$60*$D$61</f>
        <v>0</v>
      </c>
    </row>
    <row r="163" customFormat="false" ht="15" hidden="false" customHeight="false" outlineLevel="0" collapsed="false">
      <c r="A163" s="0" t="s">
        <v>203</v>
      </c>
      <c r="D163" s="7" t="n">
        <f aca="false">D161+D162</f>
        <v>24.055515</v>
      </c>
      <c r="E163" s="7" t="n">
        <f aca="false">E161+E162</f>
        <v>49.40538235875</v>
      </c>
      <c r="F163" s="7" t="n">
        <f aca="false">F161+F162</f>
        <v>75.8087831546471</v>
      </c>
      <c r="G163" s="7" t="n">
        <f aca="false">G161+G162</f>
        <v>103.4736940859</v>
      </c>
      <c r="H163" s="7" t="n">
        <f aca="false">H161+H162</f>
        <v>132.621302155236</v>
      </c>
      <c r="I163" s="7" t="n">
        <f aca="false">I161+I162</f>
        <v>163.487918355987</v>
      </c>
      <c r="J163" s="7" t="n">
        <f aca="false">J161+J162</f>
        <v>196.327034407934</v>
      </c>
      <c r="K163" s="7" t="n">
        <f aca="false">K161+K162</f>
        <v>231.411540913059</v>
      </c>
      <c r="L163" s="7" t="n">
        <f aca="false">L161+L162</f>
        <v>269.036126788649</v>
      </c>
      <c r="M163" s="7" t="n">
        <f aca="false">M161+M162</f>
        <v>309.519881501898</v>
      </c>
      <c r="N163" s="7" t="n">
        <f aca="false">N161+N162</f>
        <v>353.20912349125</v>
      </c>
      <c r="O163" s="7" t="n">
        <f aca="false">O161+O162</f>
        <v>400.480480232367</v>
      </c>
      <c r="P163" s="7" t="n">
        <f aca="false">P161+P162</f>
        <v>451.744247709667</v>
      </c>
      <c r="Q163" s="7" t="n">
        <f aca="false">Q161+Q162</f>
        <v>507.448059608807</v>
      </c>
      <c r="R163" s="7" t="n">
        <f aca="false">R161+R162</f>
        <v>568.08089937467</v>
      </c>
      <c r="S163" s="7" t="n">
        <f aca="false">S161+S162</f>
        <v>634.177491409033</v>
      </c>
      <c r="T163" s="7" t="n">
        <f aca="false">T161+T162</f>
        <v>706.323111140711</v>
      </c>
      <c r="U163" s="7" t="n">
        <f aca="false">U161+U162</f>
        <v>785.158857520056</v>
      </c>
      <c r="V163" s="7" t="n">
        <f aca="false">V161+V162</f>
        <v>871.387435704024</v>
      </c>
      <c r="W163" s="7" t="n">
        <f aca="false">W161+W162</f>
        <v>965.779502345939</v>
      </c>
      <c r="X163" s="7" t="n">
        <f aca="false">X161+X162</f>
        <v>1069.18063102791</v>
      </c>
      <c r="Y163" s="7" t="n">
        <f aca="false">Y161+Y162</f>
        <v>1182.51896102013</v>
      </c>
      <c r="Z163" s="7" t="n">
        <f aca="false">Z161+Z162</f>
        <v>1306.81359877161</v>
      </c>
      <c r="AA163" s="7" t="n">
        <f aca="false">AA161+AA162</f>
        <v>1443.18384838728</v>
      </c>
      <c r="AB163" s="7" t="n">
        <f aca="false">AB161+AB162</f>
        <v>1592.85935489026</v>
      </c>
      <c r="AC163" s="7" t="n">
        <f aca="false">AC161+AC162</f>
        <v>1757.1912523723</v>
      </c>
      <c r="AD163" s="7" t="n">
        <f aca="false">AD161+AD162</f>
        <v>1937.66441827764</v>
      </c>
      <c r="AE163" s="7" t="n">
        <f aca="false">AE161+AE162</f>
        <v>2135.91094512683</v>
      </c>
      <c r="AF163" s="7" t="n">
        <f aca="false">AF161+AF162</f>
        <v>2353.72495206059</v>
      </c>
      <c r="AG163" s="7" t="n">
        <f aca="false">AG161+AG162</f>
        <v>2593.07887076888</v>
      </c>
      <c r="AH163" s="7" t="n">
        <f aca="false">AH161+AH162</f>
        <v>2856.14135377919</v>
      </c>
      <c r="AI163" s="7" t="n">
        <f aca="false">AI161+AI162</f>
        <v>3145.29696783117</v>
      </c>
      <c r="AJ163" s="7" t="n">
        <f aca="false">AJ161+AJ162</f>
        <v>3463.16785129712</v>
      </c>
      <c r="AK163" s="7" t="n">
        <f aca="false">AK161+AK162</f>
        <v>3812.63753246719</v>
      </c>
      <c r="AL163" s="7" t="n">
        <f aca="false">AL161+AL162</f>
        <v>4196.87712516591</v>
      </c>
      <c r="AM163" s="7" t="n">
        <f aca="false">AM161+AM162</f>
        <v>4619.37413978264</v>
      </c>
      <c r="AN163" s="7" t="n">
        <f aca="false">AN161+AN162</f>
        <v>5083.96417157839</v>
      </c>
      <c r="AO163" s="7" t="n">
        <f aca="false">AO161+AO162</f>
        <v>5594.8657542916</v>
      </c>
      <c r="AP163" s="7" t="n">
        <f aca="false">AP161+AP162</f>
        <v>6156.71869584418</v>
      </c>
      <c r="AQ163" s="7" t="n">
        <f aca="false">AQ161+AQ162</f>
        <v>6774.62624460719</v>
      </c>
      <c r="AR163" s="7" t="n">
        <f aca="false">AR161+AR162</f>
        <v>7454.20146951169</v>
      </c>
      <c r="AS163" s="7" t="n">
        <f aca="false">AS161+AS162</f>
        <v>8201.61827560031</v>
      </c>
      <c r="AT163" s="7" t="n">
        <f aca="false">AT161+AT162</f>
        <v>9023.66751875796</v>
      </c>
      <c r="AU163" s="7" t="n">
        <f aca="false">AU161+AU162</f>
        <v>9927.81872971854</v>
      </c>
      <c r="AV163" s="7" t="n">
        <f aca="false">AV161+AV162</f>
        <v>10922.2880084399</v>
      </c>
      <c r="AW163" s="7" t="n">
        <f aca="false">AW161+AW162</f>
        <v>12016.1127060358</v>
      </c>
      <c r="AX163" s="7" t="n">
        <f aca="false">AX161+AX162</f>
        <v>13214.9148371511</v>
      </c>
      <c r="AY163" s="7" t="n">
        <f aca="false">AY161+AY162</f>
        <v>14341.2711518618</v>
      </c>
      <c r="AZ163" s="7" t="n">
        <f aca="false">AZ161+AZ162</f>
        <v>15396.8977352472</v>
      </c>
      <c r="BA163" s="7" t="n">
        <f aca="false">BA161+BA162</f>
        <v>16386.5591425121</v>
      </c>
      <c r="BB163" s="7" t="n">
        <f aca="false">BB161+BB162</f>
        <v>17314.6765022476</v>
      </c>
      <c r="BC163" s="7" t="n">
        <f aca="false">BC161+BC162</f>
        <v>18185.3537825997</v>
      </c>
      <c r="BD163" s="7" t="n">
        <f aca="false">BD161+BD162</f>
        <v>19002.4019503813</v>
      </c>
      <c r="BE163" s="7" t="n">
        <f aca="false">BE161+BE162</f>
        <v>19769.3611983231</v>
      </c>
      <c r="BF163" s="7" t="n">
        <f aca="false">BF161+BF162</f>
        <v>20489.5214007116</v>
      </c>
      <c r="BG163" s="7" t="n">
        <f aca="false">BG161+BG162</f>
        <v>21165.940944019</v>
      </c>
      <c r="BH163" s="7" t="n">
        <f aca="false">BH161+BH162</f>
        <v>21801.4640666615</v>
      </c>
      <c r="BI163" s="7" t="n">
        <f aca="false">BI161+BI162</f>
        <v>22398.7368306429</v>
      </c>
      <c r="BJ163" s="7" t="n">
        <f aca="false">BJ161+BJ162</f>
        <v>22960.2218374383</v>
      </c>
      <c r="BK163" s="7" t="n">
        <f aca="false">BK161+BK162</f>
        <v>23488.2117909738</v>
      </c>
    </row>
    <row r="164" customFormat="false" ht="15" hidden="false" customHeight="false" outlineLevel="0" collapsed="false">
      <c r="A164" s="0" t="s">
        <v>204</v>
      </c>
      <c r="D164" s="7" t="n">
        <f aca="false">D159*($D$9+$D$11*$D$12)+D153*($D$10+$D$14*$D$13)+D162*$D$9+$D$60*$D$10</f>
        <v>1.07833275</v>
      </c>
      <c r="E164" s="7" t="n">
        <f aca="false">E159*($D$9+$D$11*$D$12)+E153*($D$10+$D$14*$D$13)+E162*$D$9+$D$60*$D$10</f>
        <v>2.2082704936875</v>
      </c>
      <c r="F164" s="7" t="n">
        <f aca="false">F159*($D$9+$D$11*$D$12)+F153*($D$10+$D$14*$D$13)+F162*$D$9+$D$60*$D$10</f>
        <v>3.38312302012018</v>
      </c>
      <c r="G164" s="7" t="n">
        <f aca="false">G159*($D$9+$D$11*$D$12)+G153*($D$10+$D$14*$D$13)+G162*$D$9+$D$60*$D$10</f>
        <v>4.61224175528293</v>
      </c>
      <c r="H164" s="7" t="n">
        <f aca="false">H159*($D$9+$D$11*$D$12)+H153*($D$10+$D$14*$D$13)+H162*$D$9+$D$60*$D$10</f>
        <v>5.90554436631795</v>
      </c>
      <c r="I164" s="7" t="n">
        <f aca="false">I159*($D$9+$D$11*$D$12)+I153*($D$10+$D$14*$D$13)+I162*$D$9+$D$60*$D$10</f>
        <v>7.27360081625177</v>
      </c>
      <c r="J164" s="7" t="n">
        <f aca="false">J159*($D$9+$D$11*$D$12)+J153*($D$10+$D$14*$D$13)+J162*$D$9+$D$60*$D$10</f>
        <v>8.72772558641103</v>
      </c>
      <c r="K164" s="7" t="n">
        <f aca="false">K159*($D$9+$D$11*$D$12)+K153*($D$10+$D$14*$D$13)+K162*$D$9+$D$60*$D$10</f>
        <v>10.2800768907248</v>
      </c>
      <c r="L164" s="7" t="n">
        <f aca="false">L159*($D$9+$D$11*$D$12)+L153*($D$10+$D$14*$D$13)+L162*$D$9+$D$60*$D$10</f>
        <v>11.9437637705501</v>
      </c>
      <c r="M164" s="7" t="n">
        <f aca="false">M159*($D$9+$D$11*$D$12)+M153*($D$10+$D$14*$D$13)+M162*$D$9+$D$60*$D$10</f>
        <v>13.7329620311174</v>
      </c>
      <c r="N164" s="7" t="n">
        <f aca="false">N159*($D$9+$D$11*$D$12)+N153*($D$10+$D$14*$D$13)+N162*$D$9+$D$60*$D$10</f>
        <v>15.6630400618397</v>
      </c>
      <c r="O164" s="7" t="n">
        <f aca="false">O159*($D$9+$D$11*$D$12)+O153*($D$10+$D$14*$D$13)+O162*$D$9+$D$60*$D$10</f>
        <v>17.7506956733002</v>
      </c>
      <c r="P164" s="7" t="n">
        <f aca="false">P159*($D$9+$D$11*$D$12)+P153*($D$10+$D$14*$D$13)+P162*$D$9+$D$60*$D$10</f>
        <v>20.0141051845558</v>
      </c>
      <c r="Q164" s="7" t="n">
        <f aca="false">Q159*($D$9+$D$11*$D$12)+Q153*($D$10+$D$14*$D$13)+Q162*$D$9+$D$60*$D$10</f>
        <v>22.4730861063951</v>
      </c>
      <c r="R164" s="7" t="n">
        <f aca="false">R159*($D$9+$D$11*$D$12)+R153*($D$10+$D$14*$D$13)+R162*$D$9+$D$60*$D$10</f>
        <v>25.1492748903727</v>
      </c>
      <c r="S164" s="7" t="n">
        <f aca="false">S159*($D$9+$D$11*$D$12)+S153*($D$10+$D$14*$D$13)+S162*$D$9+$D$60*$D$10</f>
        <v>28.0663213509633</v>
      </c>
      <c r="T164" s="7" t="n">
        <f aca="false">T159*($D$9+$D$11*$D$12)+T153*($D$10+$D$14*$D$13)+T162*$D$9+$D$60*$D$10</f>
        <v>31.2501015202654</v>
      </c>
      <c r="U164" s="7" t="n">
        <f aca="false">U159*($D$9+$D$11*$D$12)+U153*($D$10+$D$14*$D$13)+U162*$D$9+$D$60*$D$10</f>
        <v>34.7289508627412</v>
      </c>
      <c r="V164" s="7" t="n">
        <f aca="false">V159*($D$9+$D$11*$D$12)+V153*($D$10+$D$14*$D$13)+V162*$D$9+$D$60*$D$10</f>
        <v>38.5339199630281</v>
      </c>
      <c r="W164" s="7" t="n">
        <f aca="false">W159*($D$9+$D$11*$D$12)+W153*($D$10+$D$14*$D$13)+W162*$D$9+$D$60*$D$10</f>
        <v>42.6990550045787</v>
      </c>
      <c r="X164" s="7" t="n">
        <f aca="false">X159*($D$9+$D$11*$D$12)+X153*($D$10+$D$14*$D$13)+X162*$D$9+$D$60*$D$10</f>
        <v>47.2617055826656</v>
      </c>
      <c r="Y164" s="7" t="n">
        <f aca="false">Y159*($D$9+$D$11*$D$12)+Y153*($D$10+$D$14*$D$13)+Y162*$D$9+$D$60*$D$10</f>
        <v>52.2628626441502</v>
      </c>
      <c r="Z164" s="7" t="n">
        <f aca="false">Z159*($D$9+$D$11*$D$12)+Z153*($D$10+$D$14*$D$13)+Z162*$D$9+$D$60*$D$10</f>
        <v>57.747529620651</v>
      </c>
      <c r="AA164" s="7" t="n">
        <f aca="false">AA159*($D$9+$D$11*$D$12)+AA153*($D$10+$D$14*$D$13)+AA162*$D$9+$D$60*$D$10</f>
        <v>63.7651301238344</v>
      </c>
      <c r="AB164" s="7" t="n">
        <f aca="false">AB159*($D$9+$D$11*$D$12)+AB153*($D$10+$D$14*$D$13)+AB162*$D$9+$D$60*$D$10</f>
        <v>70.3699559042431</v>
      </c>
      <c r="AC164" s="7" t="n">
        <f aca="false">AC159*($D$9+$D$11*$D$12)+AC153*($D$10+$D$14*$D$13)+AC162*$D$9+$D$60*$D$10</f>
        <v>77.6216591414029</v>
      </c>
      <c r="AD164" s="7" t="n">
        <f aca="false">AD159*($D$9+$D$11*$D$12)+AD153*($D$10+$D$14*$D$13)+AD162*$D$9+$D$60*$D$10</f>
        <v>85.585793536231</v>
      </c>
      <c r="AE164" s="7" t="n">
        <f aca="false">AE159*($D$9+$D$11*$D$12)+AE153*($D$10+$D$14*$D$13)+AE162*$D$9+$D$60*$D$10</f>
        <v>94.3344091206853</v>
      </c>
      <c r="AF164" s="7" t="n">
        <f aca="false">AF159*($D$9+$D$11*$D$12)+AF153*($D$10+$D$14*$D$13)+AF162*$D$9+$D$60*$D$10</f>
        <v>103.946706188172</v>
      </c>
      <c r="AG164" s="7" t="n">
        <f aca="false">AG159*($D$9+$D$11*$D$12)+AG153*($D$10+$D$14*$D$13)+AG162*$D$9+$D$60*$D$10</f>
        <v>114.509754285914</v>
      </c>
      <c r="AH164" s="7" t="n">
        <f aca="false">AH159*($D$9+$D$11*$D$12)+AH153*($D$10+$D$14*$D$13)+AH162*$D$9+$D$60*$D$10</f>
        <v>126.119282802184</v>
      </c>
      <c r="AI164" s="7" t="n">
        <f aca="false">AI159*($D$9+$D$11*$D$12)+AI153*($D$10+$D$14*$D$13)+AI162*$D$9+$D$60*$D$10</f>
        <v>138.880550332327</v>
      </c>
      <c r="AJ164" s="7" t="n">
        <f aca="false">AJ159*($D$9+$D$11*$D$12)+AJ153*($D$10+$D$14*$D$13)+AJ162*$D$9+$D$60*$D$10</f>
        <v>152.909300723922</v>
      </c>
      <c r="AK164" s="7" t="n">
        <f aca="false">AK159*($D$9+$D$11*$D$12)+AK153*($D$10+$D$14*$D$13)+AK162*$D$9+$D$60*$D$10</f>
        <v>168.332814489525</v>
      </c>
      <c r="AL164" s="7" t="n">
        <f aca="false">AL159*($D$9+$D$11*$D$12)+AL153*($D$10+$D$14*$D$13)+AL162*$D$9+$D$60*$D$10</f>
        <v>185.291065142642</v>
      </c>
      <c r="AM164" s="7" t="n">
        <f aca="false">AM159*($D$9+$D$11*$D$12)+AM153*($D$10+$D$14*$D$13)+AM162*$D$9+$D$60*$D$10</f>
        <v>203.93799096655</v>
      </c>
      <c r="AN164" s="7" t="n">
        <f aca="false">AN159*($D$9+$D$11*$D$12)+AN153*($D$10+$D$14*$D$13)+AN162*$D$9+$D$60*$D$10</f>
        <v>224.442893775124</v>
      </c>
      <c r="AO164" s="7" t="n">
        <f aca="false">AO159*($D$9+$D$11*$D$12)+AO153*($D$10+$D$14*$D$13)+AO162*$D$9+$D$60*$D$10</f>
        <v>246.991977379454</v>
      </c>
      <c r="AP164" s="7" t="n">
        <f aca="false">AP159*($D$9+$D$11*$D$12)+AP153*($D$10+$D$14*$D$13)+AP162*$D$9+$D$60*$D$10</f>
        <v>271.790039744198</v>
      </c>
      <c r="AQ164" s="7" t="n">
        <f aca="false">AQ159*($D$9+$D$11*$D$12)+AQ153*($D$10+$D$14*$D$13)+AQ162*$D$9+$D$60*$D$10</f>
        <v>299.06233421493</v>
      </c>
      <c r="AR164" s="7" t="n">
        <f aca="false">AR159*($D$9+$D$11*$D$12)+AR153*($D$10+$D$14*$D$13)+AR162*$D$9+$D$60*$D$10</f>
        <v>329.056616734866</v>
      </c>
      <c r="AS164" s="7" t="n">
        <f aca="false">AS159*($D$9+$D$11*$D$12)+AS153*($D$10+$D$14*$D$13)+AS162*$D$9+$D$60*$D$10</f>
        <v>362.045397660263</v>
      </c>
      <c r="AT164" s="7" t="n">
        <f aca="false">AT159*($D$9+$D$11*$D$12)+AT153*($D$10+$D$14*$D$13)+AT162*$D$9+$D$60*$D$10</f>
        <v>398.32841864389</v>
      </c>
      <c r="AU164" s="7" t="n">
        <f aca="false">AU159*($D$9+$D$11*$D$12)+AU153*($D$10+$D$14*$D$13)+AU162*$D$9+$D$60*$D$10</f>
        <v>438.235377102109</v>
      </c>
      <c r="AV164" s="7" t="n">
        <f aca="false">AV159*($D$9+$D$11*$D$12)+AV153*($D$10+$D$14*$D$13)+AV162*$D$9+$D$60*$D$10</f>
        <v>482.128923032007</v>
      </c>
      <c r="AW164" s="7" t="n">
        <f aca="false">AW159*($D$9+$D$11*$D$12)+AW153*($D$10+$D$14*$D$13)+AW162*$D$9+$D$60*$D$10</f>
        <v>530.407955420941</v>
      </c>
      <c r="AX164" s="7" t="n">
        <f aca="false">AX159*($D$9+$D$11*$D$12)+AX153*($D$10+$D$14*$D$13)+AX162*$D$9+$D$60*$D$10</f>
        <v>583.317652921495</v>
      </c>
      <c r="AY164" s="7" t="n">
        <f aca="false">AY159*($D$9+$D$11*$D$12)+AY153*($D$10+$D$14*$D$13)+AY162*$D$9+$D$60*$D$10</f>
        <v>632.898321468878</v>
      </c>
      <c r="AZ164" s="7" t="n">
        <f aca="false">AZ159*($D$9+$D$11*$D$12)+AZ153*($D$10+$D$14*$D$13)+AZ162*$D$9+$D$60*$D$10</f>
        <v>679.269210327498</v>
      </c>
      <c r="BA164" s="7" t="n">
        <f aca="false">BA159*($D$9+$D$11*$D$12)+BA153*($D$10+$D$14*$D$13)+BA162*$D$9+$D$60*$D$10</f>
        <v>722.653287103882</v>
      </c>
      <c r="BB164" s="7" t="n">
        <f aca="false">BB159*($D$9+$D$11*$D$12)+BB153*($D$10+$D$14*$D$13)+BB162*$D$9+$D$60*$D$10</f>
        <v>763.256991442042</v>
      </c>
      <c r="BC164" s="7" t="n">
        <f aca="false">BC159*($D$9+$D$11*$D$12)+BC153*($D$10+$D$14*$D$13)+BC162*$D$9+$D$60*$D$10</f>
        <v>801.271528896215</v>
      </c>
      <c r="BD164" s="7" t="n">
        <f aca="false">BD159*($D$9+$D$11*$D$12)+BD153*($D$10+$D$14*$D$13)+BD162*$D$9+$D$60*$D$10</f>
        <v>836.874059132031</v>
      </c>
      <c r="BE164" s="7" t="n">
        <f aca="false">BE159*($D$9+$D$11*$D$12)+BE153*($D$10+$D$14*$D$13)+BE162*$D$9+$D$60*$D$10</f>
        <v>870.228787357806</v>
      </c>
      <c r="BF164" s="7" t="n">
        <f aca="false">BF159*($D$9+$D$11*$D$12)+BF153*($D$10+$D$14*$D$13)+BF162*$D$9+$D$60*$D$10</f>
        <v>901.487967121338</v>
      </c>
      <c r="BG164" s="7" t="n">
        <f aca="false">BG159*($D$9+$D$11*$D$12)+BG153*($D$10+$D$14*$D$13)+BG162*$D$9+$D$60*$D$10</f>
        <v>930.792821908178</v>
      </c>
      <c r="BH164" s="7" t="n">
        <f aca="false">BH159*($D$9+$D$11*$D$12)+BH153*($D$10+$D$14*$D$13)+BH162*$D$9+$D$60*$D$10</f>
        <v>958.274392339053</v>
      </c>
      <c r="BI164" s="7" t="n">
        <f aca="false">BI159*($D$9+$D$11*$D$12)+BI153*($D$10+$D$14*$D$13)+BI162*$D$9+$D$60*$D$10</f>
        <v>984.054315181432</v>
      </c>
      <c r="BJ164" s="7" t="n">
        <f aca="false">BJ159*($D$9+$D$11*$D$12)+BJ153*($D$10+$D$14*$D$13)+BJ162*$D$9+$D$60*$D$10</f>
        <v>1008.24553985834</v>
      </c>
      <c r="BK164" s="7" t="n">
        <f aca="false">BK159*($D$9+$D$11*$D$12)+BK153*($D$10+$D$14*$D$13)+BK162*$D$9+$D$60*$D$10</f>
        <v>1030.95298765189</v>
      </c>
    </row>
    <row r="165" customFormat="false" ht="15" hidden="false" customHeight="false" outlineLevel="0" collapsed="false">
      <c r="A165" s="0" t="s">
        <v>205</v>
      </c>
      <c r="D165" s="7" t="n">
        <f aca="false">(D150*$D$41+D151*$D$42+D152*$D$43)*$D$40</f>
        <v>1.57054344935132</v>
      </c>
      <c r="E165" s="7" t="n">
        <f aca="false">(E150*$D$41+E151*$D$42+E152*$D$43)*$D$40</f>
        <v>3.19577036607551</v>
      </c>
      <c r="F165" s="7" t="n">
        <f aca="false">(F150*$D$41+F151*$D$42+F152*$D$43)*$D$40</f>
        <v>4.88829364183763</v>
      </c>
      <c r="G165" s="7" t="n">
        <f aca="false">(G150*$D$41+G151*$D$42+G152*$D$43)*$D$40</f>
        <v>6.66145643531253</v>
      </c>
      <c r="H165" s="7" t="n">
        <f aca="false">(H150*$D$41+H151*$D$42+H152*$D$43)*$D$40</f>
        <v>8.52944681810874</v>
      </c>
      <c r="I165" s="7" t="n">
        <f aca="false">(I150*$D$41+I151*$D$42+I152*$D$43)*$D$40</f>
        <v>10.5074204853311</v>
      </c>
      <c r="J165" s="7" t="n">
        <f aca="false">(J150*$D$41+J151*$D$42+J152*$D$43)*$D$40</f>
        <v>12.6116326236018</v>
      </c>
      <c r="K165" s="7" t="n">
        <f aca="false">(K150*$D$41+K151*$D$42+K152*$D$43)*$D$40</f>
        <v>14.8595801139978</v>
      </c>
      <c r="L165" s="7" t="n">
        <f aca="false">(L150*$D$41+L151*$D$42+L152*$D$43)*$D$40</f>
        <v>17.2701553426184</v>
      </c>
      <c r="M165" s="7" t="n">
        <f aca="false">(M150*$D$41+M151*$D$42+M152*$D$43)*$D$40</f>
        <v>19.8638129982375</v>
      </c>
      <c r="N165" s="7" t="n">
        <f aca="false">(N150*$D$41+N151*$D$42+N152*$D$43)*$D$40</f>
        <v>22.662751355705</v>
      </c>
      <c r="O165" s="7" t="n">
        <f aca="false">(O150*$D$41+O151*$D$42+O152*$D$43)*$D$40</f>
        <v>25.6911096765175</v>
      </c>
      <c r="P165" s="7" t="n">
        <f aca="false">(P150*$D$41+P151*$D$42+P152*$D$43)*$D$40</f>
        <v>28.975183505504</v>
      </c>
      <c r="Q165" s="7" t="n">
        <f aca="false">(Q150*$D$41+Q151*$D$42+Q152*$D$43)*$D$40</f>
        <v>32.5436598062048</v>
      </c>
      <c r="R165" s="7" t="n">
        <f aca="false">(R150*$D$41+R151*$D$42+R152*$D$43)*$D$40</f>
        <v>36.4278740587546</v>
      </c>
      <c r="S165" s="7" t="n">
        <f aca="false">(S150*$D$41+S151*$D$42+S152*$D$43)*$D$40</f>
        <v>40.6620916445693</v>
      </c>
      <c r="T165" s="7" t="n">
        <f aca="false">(T150*$D$41+T151*$D$42+T152*$D$43)*$D$40</f>
        <v>45.2838160637</v>
      </c>
      <c r="U165" s="7" t="n">
        <f aca="false">(U150*$D$41+U151*$D$42+U152*$D$43)*$D$40</f>
        <v>50.334126775379</v>
      </c>
      <c r="V165" s="7" t="n">
        <f aca="false">(V150*$D$41+V151*$D$42+V152*$D$43)*$D$40</f>
        <v>55.8580497222697</v>
      </c>
      <c r="W165" s="7" t="n">
        <f aca="false">(W150*$D$41+W151*$D$42+W152*$D$43)*$D$40</f>
        <v>61.9049638966947</v>
      </c>
      <c r="X165" s="7" t="n">
        <f aca="false">(X150*$D$41+X151*$D$42+X152*$D$43)*$D$40</f>
        <v>68.5290476353773</v>
      </c>
      <c r="Y165" s="7" t="n">
        <f aca="false">(Y150*$D$41+Y151*$D$42+Y152*$D$43)*$D$40</f>
        <v>75.7897686909591</v>
      </c>
      <c r="Z165" s="7" t="n">
        <f aca="false">(Z150*$D$41+Z151*$D$42+Z152*$D$43)*$D$40</f>
        <v>83.7524225270641</v>
      </c>
      <c r="AA165" s="7" t="n">
        <f aca="false">(AA150*$D$41+AA151*$D$42+AA152*$D$43)*$D$40</f>
        <v>92.4887237225677</v>
      </c>
      <c r="AB165" s="7" t="n">
        <f aca="false">(AB150*$D$41+AB151*$D$42+AB152*$D$43)*$D$40</f>
        <v>102.077455854013</v>
      </c>
      <c r="AC165" s="7" t="n">
        <f aca="false">(AC150*$D$41+AC151*$D$42+AC152*$D$43)*$D$40</f>
        <v>112.60518575717</v>
      </c>
      <c r="AD165" s="7" t="n">
        <f aca="false">(AD150*$D$41+AD151*$D$42+AD152*$D$43)*$D$40</f>
        <v>124.16704865442</v>
      </c>
      <c r="AE165" s="7" t="n">
        <f aca="false">(AE150*$D$41+AE151*$D$42+AE152*$D$43)*$D$40</f>
        <v>136.867611279259</v>
      </c>
      <c r="AF165" s="7" t="n">
        <f aca="false">(AF150*$D$41+AF151*$D$42+AF152*$D$43)*$D$40</f>
        <v>150.821820838648</v>
      </c>
      <c r="AG165" s="7" t="n">
        <f aca="false">(AG150*$D$41+AG151*$D$42+AG152*$D$43)*$D$40</f>
        <v>166.156048434638</v>
      </c>
      <c r="AH165" s="7" t="n">
        <f aca="false">(AH150*$D$41+AH151*$D$42+AH152*$D$43)*$D$40</f>
        <v>183.009236425705</v>
      </c>
      <c r="AI165" s="7" t="n">
        <f aca="false">(AI150*$D$41+AI151*$D$42+AI152*$D$43)*$D$40</f>
        <v>201.534160153486</v>
      </c>
      <c r="AJ165" s="7" t="n">
        <f aca="false">(AJ150*$D$41+AJ151*$D$42+AJ152*$D$43)*$D$40</f>
        <v>221.898815500536</v>
      </c>
      <c r="AK165" s="7" t="n">
        <f aca="false">(AK150*$D$41+AK151*$D$42+AK152*$D$43)*$D$40</f>
        <v>244.287944888935</v>
      </c>
      <c r="AL165" s="7" t="n">
        <f aca="false">(AL150*$D$41+AL151*$D$42+AL152*$D$43)*$D$40</f>
        <v>268.904715588378</v>
      </c>
      <c r="AM165" s="7" t="n">
        <f aca="false">(AM150*$D$41+AM151*$D$42+AM152*$D$43)*$D$40</f>
        <v>295.972565587229</v>
      </c>
      <c r="AN165" s="7" t="n">
        <f aca="false">(AN150*$D$41+AN151*$D$42+AN152*$D$43)*$D$40</f>
        <v>325.737233803578</v>
      </c>
      <c r="AO165" s="7" t="n">
        <f aca="false">(AO150*$D$41+AO151*$D$42+AO152*$D$43)*$D$40</f>
        <v>358.468993089327</v>
      </c>
      <c r="AP165" s="7" t="n">
        <f aca="false">(AP150*$D$41+AP151*$D$42+AP152*$D$43)*$D$40</f>
        <v>394.465106324133</v>
      </c>
      <c r="AQ165" s="7" t="n">
        <f aca="false">(AQ150*$D$41+AQ151*$D$42+AQ152*$D$43)*$D$40</f>
        <v>434.052527924298</v>
      </c>
      <c r="AR165" s="7" t="n">
        <f aca="false">(AR150*$D$41+AR151*$D$42+AR152*$D$43)*$D$40</f>
        <v>477.590875322905</v>
      </c>
      <c r="AS165" s="7" t="n">
        <f aca="false">(AS150*$D$41+AS151*$D$42+AS152*$D$43)*$D$40</f>
        <v>525.475697431979</v>
      </c>
      <c r="AT165" s="7" t="n">
        <f aca="false">(AT150*$D$41+AT151*$D$42+AT152*$D$43)*$D$40</f>
        <v>578.142069797396</v>
      </c>
      <c r="AU165" s="7" t="n">
        <f aca="false">(AU150*$D$41+AU151*$D$42+AU152*$D$43)*$D$40</f>
        <v>636.0685491274</v>
      </c>
      <c r="AV165" s="7" t="n">
        <f aca="false">(AV150*$D$41+AV151*$D$42+AV152*$D$43)*$D$40</f>
        <v>699.781523142694</v>
      </c>
      <c r="AW165" s="7" t="n">
        <f aca="false">(AW150*$D$41+AW151*$D$42+AW152*$D$43)*$D$40</f>
        <v>769.859995290091</v>
      </c>
      <c r="AX165" s="7" t="n">
        <f aca="false">(AX150*$D$41+AX151*$D$42+AX152*$D$43)*$D$40</f>
        <v>846.658884924347</v>
      </c>
      <c r="AY165" s="7" t="n">
        <f aca="false">(AY150*$D$41+AY151*$D$42+AY152*$D$43)*$D$40</f>
        <v>918.58654022615</v>
      </c>
      <c r="AZ165" s="7" t="n">
        <f aca="false">(AZ150*$D$41+AZ151*$D$42+AZ152*$D$43)*$D$40</f>
        <v>985.973815539436</v>
      </c>
      <c r="BA165" s="7" t="n">
        <f aca="false">(BA150*$D$41+BA151*$D$42+BA152*$D$43)*$D$40</f>
        <v>1049.12757197803</v>
      </c>
      <c r="BB165" s="7" t="n">
        <f aca="false">(BB150*$D$41+BB151*$D$42+BB152*$D$43)*$D$40</f>
        <v>1108.33251993519</v>
      </c>
      <c r="BC165" s="7" t="n">
        <f aca="false">(BC150*$D$41+BC151*$D$42+BC152*$D$43)*$D$40</f>
        <v>1163.85291342391</v>
      </c>
      <c r="BD165" s="7" t="n">
        <f aca="false">(BD150*$D$41+BD151*$D$42+BD152*$D$43)*$D$40</f>
        <v>1215.93410858489</v>
      </c>
      <c r="BE165" s="7" t="n">
        <f aca="false">(BE150*$D$41+BE151*$D$42+BE152*$D$43)*$D$40</f>
        <v>1264.80399764582</v>
      </c>
      <c r="BF165" s="7" t="n">
        <f aca="false">(BF150*$D$41+BF151*$D$42+BF152*$D$43)*$D$40</f>
        <v>1310.67432865406</v>
      </c>
      <c r="BG165" s="7" t="n">
        <f aca="false">(BG150*$D$41+BG151*$D$42+BG152*$D$43)*$D$40</f>
        <v>1353.74192042644</v>
      </c>
      <c r="BH165" s="7" t="n">
        <f aca="false">(BH150*$D$41+BH151*$D$42+BH152*$D$43)*$D$40</f>
        <v>1394.18978135779</v>
      </c>
      <c r="BI165" s="7" t="n">
        <f aca="false">(BI150*$D$41+BI151*$D$42+BI152*$D$43)*$D$40</f>
        <v>1432.18813999722</v>
      </c>
      <c r="BJ165" s="7" t="n">
        <f aca="false">(BJ150*$D$41+BJ151*$D$42+BJ152*$D$43)*$D$40</f>
        <v>1467.89539463172</v>
      </c>
      <c r="BK165" s="7" t="n">
        <f aca="false">(BK150*$D$41+BK151*$D$42+BK152*$D$43)*$D$40</f>
        <v>1501.45898850491</v>
      </c>
    </row>
    <row r="166" customFormat="false" ht="15" hidden="false" customHeight="false" outlineLevel="0" collapsed="false">
      <c r="A166" s="0" t="s">
        <v>206</v>
      </c>
      <c r="D166" s="7" t="n">
        <f aca="false">D150*$D$44+D151*$D$45+D152*$D$46</f>
        <v>0.624375</v>
      </c>
      <c r="E166" s="7" t="n">
        <f aca="false">E150*$D$44+E151*$D$45+E152*$D$46</f>
        <v>1.277775</v>
      </c>
      <c r="F166" s="7" t="n">
        <f aca="false">F150*$D$44+F151*$D$45+F152*$D$46</f>
        <v>1.964925</v>
      </c>
      <c r="G166" s="7" t="n">
        <f aca="false">G150*$D$44+G151*$D$45+G152*$D$46</f>
        <v>2.69092135125</v>
      </c>
      <c r="H166" s="7" t="n">
        <f aca="false">H150*$D$44+H151*$D$45+H152*$D$46</f>
        <v>3.46127459124375</v>
      </c>
      <c r="I166" s="7" t="n">
        <f aca="false">I150*$D$44+I151*$D$45+I152*$D$46</f>
        <v>4.28195623682728</v>
      </c>
      <c r="J166" s="7" t="n">
        <f aca="false">J150*$D$44+J151*$D$45+J152*$D$46</f>
        <v>5.15944995000943</v>
      </c>
      <c r="K166" s="7" t="n">
        <f aca="false">K150*$D$44+K151*$D$45+K152*$D$46</f>
        <v>6.1008075314274</v>
      </c>
      <c r="L166" s="7" t="n">
        <f aca="false">L150*$D$44+L151*$D$45+L152*$D$46</f>
        <v>7.11371024088677</v>
      </c>
      <c r="M166" s="7" t="n">
        <f aca="false">M150*$D$44+M151*$D$45+M152*$D$46</f>
        <v>8.2065359933689</v>
      </c>
      <c r="N166" s="7" t="n">
        <f aca="false">N150*$D$44+N151*$D$45+N152*$D$46</f>
        <v>9.38843303282593</v>
      </c>
      <c r="O166" s="7" t="n">
        <f aca="false">O150*$D$44+O151*$D$45+O152*$D$46</f>
        <v>10.6694007454574</v>
      </c>
      <c r="P166" s="7" t="n">
        <f aca="false">P150*$D$44+P151*$D$45+P152*$D$46</f>
        <v>12.0603783395234</v>
      </c>
      <c r="Q166" s="7" t="n">
        <f aca="false">Q150*$D$44+Q151*$D$45+Q152*$D$46</f>
        <v>13.5733421906942</v>
      </c>
      <c r="R166" s="7" t="n">
        <f aca="false">R150*$D$44+R151*$D$45+R152*$D$46</f>
        <v>15.2214127311192</v>
      </c>
      <c r="S166" s="7" t="n">
        <f aca="false">S150*$D$44+S151*$D$45+S152*$D$46</f>
        <v>17.0189718475429</v>
      </c>
      <c r="T166" s="7" t="n">
        <f aca="false">T150*$D$44+T151*$D$45+T152*$D$46</f>
        <v>18.9817918496922</v>
      </c>
      <c r="U166" s="7" t="n">
        <f aca="false">U150*$D$44+U151*$D$45+U152*$D$46</f>
        <v>21.1271771756839</v>
      </c>
      <c r="V166" s="7" t="n">
        <f aca="false">V150*$D$44+V151*$D$45+V152*$D$46</f>
        <v>23.4741201173145</v>
      </c>
      <c r="W166" s="7" t="n">
        <f aca="false">W150*$D$44+W151*$D$45+W152*$D$46</f>
        <v>26.0434719758478</v>
      </c>
      <c r="X166" s="7" t="n">
        <f aca="false">X150*$D$44+X151*$D$45+X152*$D$46</f>
        <v>28.8581311994816</v>
      </c>
      <c r="Y166" s="7" t="n">
        <f aca="false">Y150*$D$44+Y151*$D$45+Y152*$D$46</f>
        <v>31.9432502083186</v>
      </c>
      <c r="Z166" s="7" t="n">
        <f aca="false">Z150*$D$44+Z151*$D$45+Z152*$D$46</f>
        <v>35.3264627828105</v>
      </c>
      <c r="AA166" s="7" t="n">
        <f aca="false">AA150*$D$44+AA151*$D$45+AA152*$D$46</f>
        <v>39.0381340788218</v>
      </c>
      <c r="AB166" s="7" t="n">
        <f aca="false">AB150*$D$44+AB151*$D$45+AB152*$D$46</f>
        <v>43.1116355383824</v>
      </c>
      <c r="AC166" s="7" t="n">
        <f aca="false">AC150*$D$44+AC151*$D$45+AC152*$D$46</f>
        <v>47.5836471917346</v>
      </c>
      <c r="AD166" s="7" t="n">
        <f aca="false">AD150*$D$44+AD151*$D$45+AD152*$D$46</f>
        <v>52.4944900954954</v>
      </c>
      <c r="AE166" s="7" t="n">
        <f aca="false">AE150*$D$44+AE151*$D$45+AE152*$D$46</f>
        <v>57.8884919259042</v>
      </c>
      <c r="AF166" s="7" t="n">
        <f aca="false">AF150*$D$44+AF151*$D$45+AF152*$D$46</f>
        <v>63.8143890477189</v>
      </c>
      <c r="AG166" s="7" t="n">
        <f aca="false">AG150*$D$44+AG151*$D$45+AG152*$D$46</f>
        <v>70.3257687110854</v>
      </c>
      <c r="AH166" s="7" t="n">
        <f aca="false">AH150*$D$44+AH151*$D$45+AH152*$D$46</f>
        <v>77.4815553936662</v>
      </c>
      <c r="AI166" s="7" t="n">
        <f aca="false">AI150*$D$44+AI151*$D$45+AI152*$D$46</f>
        <v>85.3465457067822</v>
      </c>
      <c r="AJ166" s="7" t="n">
        <f aca="false">AJ150*$D$44+AJ151*$D$45+AJ152*$D$46</f>
        <v>93.991996725957</v>
      </c>
      <c r="AK166" s="7" t="n">
        <f aca="false">AK150*$D$44+AK151*$D$45+AK152*$D$46</f>
        <v>103.496273092059</v>
      </c>
      <c r="AL166" s="7" t="n">
        <f aca="false">AL150*$D$44+AL151*$D$45+AL152*$D$46</f>
        <v>113.945558763644</v>
      </c>
      <c r="AM166" s="7" t="n">
        <f aca="false">AM150*$D$44+AM151*$D$45+AM152*$D$46</f>
        <v>125.434639888955</v>
      </c>
      <c r="AN166" s="7" t="n">
        <f aca="false">AN150*$D$44+AN151*$D$45+AN152*$D$46</f>
        <v>138.067765912698</v>
      </c>
      <c r="AO166" s="7" t="n">
        <f aca="false">AO150*$D$44+AO151*$D$45+AO152*$D$46</f>
        <v>151.959596744025</v>
      </c>
      <c r="AP166" s="7" t="n">
        <f aca="false">AP150*$D$44+AP151*$D$45+AP152*$D$46</f>
        <v>167.236244594651</v>
      </c>
      <c r="AQ166" s="7" t="n">
        <f aca="false">AQ150*$D$44+AQ151*$D$45+AQ152*$D$46</f>
        <v>184.036419956762</v>
      </c>
      <c r="AR166" s="7" t="n">
        <f aca="false">AR150*$D$44+AR151*$D$45+AR152*$D$46</f>
        <v>202.512692137157</v>
      </c>
      <c r="AS166" s="7" t="n">
        <f aca="false">AS150*$D$44+AS151*$D$45+AS152*$D$46</f>
        <v>222.832875805607</v>
      </c>
      <c r="AT166" s="7" t="n">
        <f aca="false">AT150*$D$44+AT151*$D$45+AT152*$D$46</f>
        <v>245.18155616107</v>
      </c>
      <c r="AU166" s="7" t="n">
        <f aca="false">AU150*$D$44+AU151*$D$45+AU152*$D$46</f>
        <v>269.7617665796</v>
      </c>
      <c r="AV166" s="7" t="n">
        <f aca="false">AV150*$D$44+AV151*$D$45+AV152*$D$46</f>
        <v>296.796833994122</v>
      </c>
      <c r="AW166" s="7" t="n">
        <f aca="false">AW150*$D$44+AW151*$D$45+AW152*$D$46</f>
        <v>326.532408781085</v>
      </c>
      <c r="AX166" s="7" t="n">
        <f aca="false">AX150*$D$44+AX151*$D$45+AX152*$D$46</f>
        <v>359.12660228046</v>
      </c>
      <c r="AY166" s="7" t="n">
        <f aca="false">AY150*$D$44+AY151*$D$45+AY152*$D$46</f>
        <v>389.988517958693</v>
      </c>
      <c r="AZ166" s="7" t="n">
        <f aca="false">AZ150*$D$44+AZ151*$D$45+AZ152*$D$46</f>
        <v>419.212040664553</v>
      </c>
      <c r="BA166" s="7" t="n">
        <f aca="false">BA150*$D$44+BA151*$D$45+BA152*$D$46</f>
        <v>446.88587448781</v>
      </c>
      <c r="BB166" s="7" t="n">
        <f aca="false">BB150*$D$44+BB151*$D$45+BB152*$D$46</f>
        <v>473.093833249831</v>
      </c>
      <c r="BC166" s="7" t="n">
        <f aca="false">BC150*$D$44+BC151*$D$45+BC152*$D$46</f>
        <v>497.915114480722</v>
      </c>
      <c r="BD166" s="7" t="n">
        <f aca="false">BD150*$D$44+BD151*$D$45+BD152*$D$46</f>
        <v>521.424557832595</v>
      </c>
      <c r="BE166" s="7" t="n">
        <f aca="false">BE150*$D$44+BE151*$D$45+BE152*$D$46</f>
        <v>543.692888823424</v>
      </c>
      <c r="BF166" s="7" t="n">
        <f aca="false">BF150*$D$44+BF151*$D$45+BF152*$D$46</f>
        <v>564.786948754067</v>
      </c>
      <c r="BG166" s="7" t="n">
        <f aca="false">BG150*$D$44+BG151*$D$45+BG152*$D$46</f>
        <v>584.76991159217</v>
      </c>
      <c r="BH166" s="7" t="n">
        <f aca="false">BH150*$D$44+BH151*$D$45+BH152*$D$46</f>
        <v>603.701488570636</v>
      </c>
      <c r="BI166" s="7" t="n">
        <f aca="false">BI150*$D$44+BI151*$D$45+BI152*$D$46</f>
        <v>621.638121205064</v>
      </c>
      <c r="BJ166" s="7" t="n">
        <f aca="false">BJ150*$D$44+BJ151*$D$45+BJ152*$D$46</f>
        <v>638.633163393737</v>
      </c>
      <c r="BK166" s="7" t="n">
        <f aca="false">BK150*$D$44+BK151*$D$45+BK152*$D$46</f>
        <v>654.737053225345</v>
      </c>
    </row>
    <row r="167" customFormat="false" ht="15" hidden="false" customHeight="false" outlineLevel="0" collapsed="false">
      <c r="A167" s="0" t="s">
        <v>207</v>
      </c>
      <c r="D167" s="7" t="n">
        <f aca="false">SUM($D139:D139)*0+$D$60*D139*$D$62</f>
        <v>0</v>
      </c>
      <c r="E167" s="7" t="n">
        <f aca="false">SUM($D139:E139)*0+$D$60*E139*$D$62</f>
        <v>0</v>
      </c>
      <c r="F167" s="7" t="n">
        <f aca="false">SUM($D139:F139)*0+$D$60*F139*$D$62</f>
        <v>0</v>
      </c>
      <c r="G167" s="7" t="n">
        <f aca="false">SUM($D139:G139)*0+$D$60*G139*$D$62</f>
        <v>0</v>
      </c>
      <c r="H167" s="7" t="n">
        <f aca="false">SUM($D139:H139)*0+$D$60*H139*$D$62</f>
        <v>0</v>
      </c>
      <c r="I167" s="7" t="n">
        <f aca="false">SUM($D139:I139)*0+$D$60*I139*$D$62</f>
        <v>0</v>
      </c>
      <c r="J167" s="7" t="n">
        <f aca="false">SUM($D139:J139)*0+$D$60*J139*$D$62</f>
        <v>0</v>
      </c>
      <c r="K167" s="7" t="n">
        <f aca="false">SUM($D139:K139)*0+$D$60*K139*$D$62</f>
        <v>0</v>
      </c>
      <c r="L167" s="7" t="n">
        <f aca="false">SUM($D139:L139)*0+$D$60*L139*$D$62</f>
        <v>0</v>
      </c>
      <c r="M167" s="7" t="n">
        <f aca="false">SUM($D139:M139)*0+$D$60*M139*$D$62</f>
        <v>0</v>
      </c>
      <c r="N167" s="7" t="n">
        <f aca="false">SUM($D139:N139)*0+$D$60*N139*$D$62</f>
        <v>0</v>
      </c>
      <c r="O167" s="7" t="n">
        <f aca="false">SUM($D139:O139)*0+$D$60*O139*$D$62</f>
        <v>0</v>
      </c>
      <c r="P167" s="7" t="n">
        <f aca="false">SUM($D139:P139)*0+$D$60*P139*$D$62</f>
        <v>0</v>
      </c>
      <c r="Q167" s="7" t="n">
        <f aca="false">SUM($D139:Q139)*0+$D$60*Q139*$D$62</f>
        <v>0</v>
      </c>
      <c r="R167" s="7" t="n">
        <f aca="false">SUM($D139:R139)*0+$D$60*R139*$D$62</f>
        <v>0</v>
      </c>
      <c r="S167" s="7" t="n">
        <f aca="false">SUM($D139:S139)*0+$D$60*S139*$D$62</f>
        <v>0</v>
      </c>
      <c r="T167" s="7" t="n">
        <f aca="false">SUM($D139:T139)*0+$D$60*T139*$D$62</f>
        <v>0</v>
      </c>
      <c r="U167" s="7" t="n">
        <f aca="false">SUM($D139:U139)*0+$D$60*U139*$D$62</f>
        <v>0</v>
      </c>
      <c r="V167" s="7" t="n">
        <f aca="false">SUM($D139:V139)*0+$D$60*V139*$D$62</f>
        <v>0</v>
      </c>
      <c r="W167" s="7" t="n">
        <f aca="false">SUM($D139:W139)*0+$D$60*W139*$D$62</f>
        <v>0</v>
      </c>
      <c r="X167" s="7" t="n">
        <f aca="false">SUM($D139:X139)*0+$D$60*X139*$D$62</f>
        <v>0</v>
      </c>
      <c r="Y167" s="7" t="n">
        <f aca="false">SUM($D139:Y139)*0+$D$60*Y139*$D$62</f>
        <v>0</v>
      </c>
      <c r="Z167" s="7" t="n">
        <f aca="false">SUM($D139:Z139)*0+$D$60*Z139*$D$62</f>
        <v>0</v>
      </c>
      <c r="AA167" s="7" t="n">
        <f aca="false">SUM($D139:AA139)*0+$D$60*AA139*$D$62</f>
        <v>0</v>
      </c>
      <c r="AB167" s="7" t="n">
        <f aca="false">SUM($D139:AB139)*0+$D$60*AB139*$D$62</f>
        <v>0</v>
      </c>
      <c r="AC167" s="7" t="n">
        <f aca="false">SUM($D139:AC139)*0+$D$60*AC139*$D$62</f>
        <v>0</v>
      </c>
      <c r="AD167" s="7" t="n">
        <f aca="false">SUM($D139:AD139)*0+$D$60*AD139*$D$62</f>
        <v>0</v>
      </c>
      <c r="AE167" s="7" t="n">
        <f aca="false">SUM($D139:AE139)*0+$D$60*AE139*$D$62</f>
        <v>0</v>
      </c>
      <c r="AF167" s="7" t="n">
        <f aca="false">SUM($D139:AF139)*0+$D$60*AF139*$D$62</f>
        <v>0</v>
      </c>
      <c r="AG167" s="7" t="n">
        <f aca="false">SUM($D139:AG139)*0+$D$60*AG139*$D$62</f>
        <v>0</v>
      </c>
      <c r="AH167" s="7" t="n">
        <f aca="false">SUM($D139:AH139)*0+$D$60*AH139*$D$62</f>
        <v>0</v>
      </c>
      <c r="AI167" s="7" t="n">
        <f aca="false">SUM($D139:AI139)*0+$D$60*AI139*$D$62</f>
        <v>0</v>
      </c>
      <c r="AJ167" s="7" t="n">
        <f aca="false">SUM($D139:AJ139)*0+$D$60*AJ139*$D$62</f>
        <v>0</v>
      </c>
      <c r="AK167" s="7" t="n">
        <f aca="false">SUM($D139:AK139)*0+$D$60*AK139*$D$62</f>
        <v>0</v>
      </c>
      <c r="AL167" s="7" t="n">
        <f aca="false">SUM($D139:AL139)*0+$D$60*AL139*$D$62</f>
        <v>0</v>
      </c>
      <c r="AM167" s="7" t="n">
        <f aca="false">SUM($D139:AM139)*0+$D$60*AM139*$D$62</f>
        <v>0</v>
      </c>
      <c r="AN167" s="7" t="n">
        <f aca="false">SUM($D139:AN139)*0+$D$60*AN139*$D$62</f>
        <v>0</v>
      </c>
      <c r="AO167" s="7" t="n">
        <f aca="false">SUM($D139:AO139)*0+$D$60*AO139*$D$62</f>
        <v>0</v>
      </c>
      <c r="AP167" s="7" t="n">
        <f aca="false">SUM($D139:AP139)*0+$D$60*AP139*$D$62</f>
        <v>0</v>
      </c>
      <c r="AQ167" s="7" t="n">
        <f aca="false">SUM($D139:AQ139)*0+$D$60*AQ139*$D$62</f>
        <v>0</v>
      </c>
      <c r="AR167" s="7" t="n">
        <f aca="false">SUM($D139:AR139)*0+$D$60*AR139*$D$62</f>
        <v>0</v>
      </c>
      <c r="AS167" s="7" t="n">
        <f aca="false">SUM($D139:AS139)*0+$D$60*AS139*$D$62</f>
        <v>0</v>
      </c>
      <c r="AT167" s="7" t="n">
        <f aca="false">SUM($D139:AT139)*0+$D$60*AT139*$D$62</f>
        <v>0</v>
      </c>
      <c r="AU167" s="7" t="n">
        <f aca="false">SUM($D139:AU139)*0+$D$60*AU139*$D$62</f>
        <v>0</v>
      </c>
      <c r="AV167" s="7" t="n">
        <f aca="false">SUM($D139:AV139)*0+$D$60*AV139*$D$62</f>
        <v>0</v>
      </c>
      <c r="AW167" s="7" t="n">
        <f aca="false">SUM($D139:AW139)*0+$D$60*AW139*$D$62</f>
        <v>0</v>
      </c>
      <c r="AX167" s="7" t="n">
        <f aca="false">SUM($D139:AX139)*0+$D$60*AX139*$D$62</f>
        <v>0</v>
      </c>
      <c r="AY167" s="7" t="n">
        <f aca="false">SUM($D139:AY139)*0+$D$60*AY139*$D$62</f>
        <v>0</v>
      </c>
      <c r="AZ167" s="7" t="n">
        <f aca="false">SUM($D139:AZ139)*0+$D$60*AZ139*$D$62</f>
        <v>0</v>
      </c>
      <c r="BA167" s="7" t="n">
        <f aca="false">SUM($D139:BA139)*0+$D$60*BA139*$D$62</f>
        <v>0</v>
      </c>
      <c r="BB167" s="7" t="n">
        <f aca="false">SUM($D139:BB139)*0+$D$60*BB139*$D$62</f>
        <v>0</v>
      </c>
      <c r="BC167" s="7" t="n">
        <f aca="false">SUM($D139:BC139)*0+$D$60*BC139*$D$62</f>
        <v>0</v>
      </c>
      <c r="BD167" s="7" t="n">
        <f aca="false">SUM($D139:BD139)*0+$D$60*BD139*$D$62</f>
        <v>0</v>
      </c>
      <c r="BE167" s="7" t="n">
        <f aca="false">SUM($D139:BE139)*0+$D$60*BE139*$D$62</f>
        <v>0</v>
      </c>
      <c r="BF167" s="7" t="n">
        <f aca="false">SUM($D139:BF139)*0+$D$60*BF139*$D$62</f>
        <v>0</v>
      </c>
      <c r="BG167" s="7" t="n">
        <f aca="false">SUM($D139:BG139)*0+$D$60*BG139*$D$62</f>
        <v>0</v>
      </c>
      <c r="BH167" s="7" t="n">
        <f aca="false">SUM($D139:BH139)*0+$D$60*BH139*$D$62</f>
        <v>0</v>
      </c>
      <c r="BI167" s="7" t="n">
        <f aca="false">SUM($D139:BI139)*0+$D$60*BI139*$D$62</f>
        <v>0</v>
      </c>
      <c r="BJ167" s="7" t="n">
        <f aca="false">SUM($D139:BJ139)*0+$D$60*BJ139*$D$62</f>
        <v>0</v>
      </c>
      <c r="BK167" s="7" t="n">
        <f aca="false">SUM($D139:BK139)*0+$D$60*BK139*$D$62</f>
        <v>0</v>
      </c>
    </row>
    <row r="168" customFormat="false" ht="15" hidden="false" customHeight="false" outlineLevel="0" collapsed="false">
      <c r="A168" s="0" t="s">
        <v>208</v>
      </c>
      <c r="D168" s="7" t="n">
        <f aca="false">(D165+D166+D167)*$D$18</f>
        <v>0.120720514714323</v>
      </c>
      <c r="E168" s="7" t="n">
        <f aca="false">(E165+E166+E167)*$D$18</f>
        <v>0.246044995134153</v>
      </c>
      <c r="F168" s="7" t="n">
        <f aca="false">(F165+F166+F167)*$D$18</f>
        <v>0.37692702530107</v>
      </c>
      <c r="G168" s="7" t="n">
        <f aca="false">(G165+G166+G167)*$D$18</f>
        <v>0.514380778260939</v>
      </c>
      <c r="H168" s="7" t="n">
        <f aca="false">(H165+H166+H167)*$D$18</f>
        <v>0.659489677514387</v>
      </c>
      <c r="I168" s="7" t="n">
        <f aca="false">(I165+I166+I167)*$D$18</f>
        <v>0.813415719718711</v>
      </c>
      <c r="J168" s="7" t="n">
        <f aca="false">(J165+J166+J167)*$D$18</f>
        <v>0.977409541548617</v>
      </c>
      <c r="K168" s="7" t="n">
        <f aca="false">(K165+K166+K167)*$D$18</f>
        <v>1.15282132049839</v>
      </c>
      <c r="L168" s="7" t="n">
        <f aca="false">(L165+L166+L167)*$D$18</f>
        <v>1.34111260709278</v>
      </c>
      <c r="M168" s="7" t="n">
        <f aca="false">(M165+M166+M167)*$D$18</f>
        <v>1.54386919453835</v>
      </c>
      <c r="N168" s="7" t="n">
        <f aca="false">(N165+N166+N167)*$D$18</f>
        <v>1.7628151413692</v>
      </c>
      <c r="O168" s="7" t="n">
        <f aca="false">(O165+O166+O167)*$D$18</f>
        <v>1.99982807320862</v>
      </c>
      <c r="P168" s="7" t="n">
        <f aca="false">(P165+P166+P167)*$D$18</f>
        <v>2.25695590147651</v>
      </c>
      <c r="Q168" s="7" t="n">
        <f aca="false">(Q165+Q166+Q167)*$D$18</f>
        <v>2.53643510982944</v>
      </c>
      <c r="R168" s="7" t="n">
        <f aca="false">(R165+R166+R167)*$D$18</f>
        <v>2.84071077344306</v>
      </c>
      <c r="S168" s="7" t="n">
        <f aca="false">(S165+S166+S167)*$D$18</f>
        <v>3.17245849206617</v>
      </c>
      <c r="T168" s="7" t="n">
        <f aca="false">(T165+T166+T167)*$D$18</f>
        <v>3.53460843523657</v>
      </c>
      <c r="U168" s="7" t="n">
        <f aca="false">(U165+U166+U167)*$D$18</f>
        <v>3.93037171730846</v>
      </c>
      <c r="V168" s="7" t="n">
        <f aca="false">(V165+V166+V167)*$D$18</f>
        <v>4.36326934117713</v>
      </c>
      <c r="W168" s="7" t="n">
        <f aca="false">(W165+W166+W167)*$D$18</f>
        <v>4.83716397298984</v>
      </c>
      <c r="X168" s="7" t="n">
        <f aca="false">(X165+X166+X167)*$D$18</f>
        <v>5.35629483591724</v>
      </c>
      <c r="Y168" s="7" t="n">
        <f aca="false">(Y165+Y166+Y167)*$D$18</f>
        <v>5.92531603946027</v>
      </c>
      <c r="Z168" s="7" t="n">
        <f aca="false">(Z165+Z166+Z167)*$D$18</f>
        <v>6.5493386920431</v>
      </c>
      <c r="AA168" s="7" t="n">
        <f aca="false">(AA165+AA166+AA167)*$D$18</f>
        <v>7.23397717907642</v>
      </c>
      <c r="AB168" s="7" t="n">
        <f aca="false">(AB165+AB166+AB167)*$D$18</f>
        <v>7.98540002658173</v>
      </c>
      <c r="AC168" s="7" t="n">
        <f aca="false">(AC165+AC166+AC167)*$D$18</f>
        <v>8.81038581218974</v>
      </c>
      <c r="AD168" s="7" t="n">
        <f aca="false">(AD165+AD166+AD167)*$D$18</f>
        <v>9.71638463124535</v>
      </c>
      <c r="AE168" s="7" t="n">
        <f aca="false">(AE165+AE166+AE167)*$D$18</f>
        <v>10.711585676284</v>
      </c>
      <c r="AF168" s="7" t="n">
        <f aca="false">(AF165+AF166+AF167)*$D$18</f>
        <v>11.8049915437502</v>
      </c>
      <c r="AG168" s="7" t="n">
        <f aca="false">(AG165+AG166+AG167)*$D$18</f>
        <v>13.0064999430148</v>
      </c>
      <c r="AH168" s="7" t="n">
        <f aca="false">(AH165+AH166+AH167)*$D$18</f>
        <v>14.3269935500654</v>
      </c>
      <c r="AI168" s="7" t="n">
        <f aca="false">(AI165+AI166+AI167)*$D$18</f>
        <v>15.7784388223148</v>
      </c>
      <c r="AJ168" s="7" t="n">
        <f aca="false">(AJ165+AJ166+AJ167)*$D$18</f>
        <v>17.3739946724571</v>
      </c>
      <c r="AK168" s="7" t="n">
        <f aca="false">(AK165+AK166+AK167)*$D$18</f>
        <v>19.1281319889547</v>
      </c>
      <c r="AL168" s="7" t="n">
        <f aca="false">(AL165+AL166+AL167)*$D$18</f>
        <v>21.0567650893612</v>
      </c>
      <c r="AM168" s="7" t="n">
        <f aca="false">(AM165+AM166+AM167)*$D$18</f>
        <v>23.1773963011901</v>
      </c>
      <c r="AN168" s="7" t="n">
        <f aca="false">(AN165+AN166+AN167)*$D$18</f>
        <v>25.5092749843952</v>
      </c>
      <c r="AO168" s="7" t="n">
        <f aca="false">(AO165+AO166+AO167)*$D$18</f>
        <v>28.0735724408343</v>
      </c>
      <c r="AP168" s="7" t="n">
        <f aca="false">(AP165+AP166+AP167)*$D$18</f>
        <v>30.8935743005332</v>
      </c>
      <c r="AQ168" s="7" t="n">
        <f aca="false">(AQ165+AQ166+AQ167)*$D$18</f>
        <v>33.9948921334583</v>
      </c>
      <c r="AR168" s="7" t="n">
        <f aca="false">(AR165+AR166+AR167)*$D$18</f>
        <v>37.4056962103034</v>
      </c>
      <c r="AS168" s="7" t="n">
        <f aca="false">(AS165+AS166+AS167)*$D$18</f>
        <v>41.1569715280672</v>
      </c>
      <c r="AT168" s="7" t="n">
        <f aca="false">(AT165+AT166+AT167)*$D$18</f>
        <v>45.2827994277156</v>
      </c>
      <c r="AU168" s="7" t="n">
        <f aca="false">(AU165+AU166+AU167)*$D$18</f>
        <v>49.820667363885</v>
      </c>
      <c r="AV168" s="7" t="n">
        <f aca="false">(AV165+AV166+AV167)*$D$18</f>
        <v>54.8118096425249</v>
      </c>
      <c r="AW168" s="7" t="n">
        <f aca="false">(AW165+AW166+AW167)*$D$18</f>
        <v>60.3015822239147</v>
      </c>
      <c r="AX168" s="7" t="n">
        <f aca="false">(AX165+AX166+AX167)*$D$18</f>
        <v>66.3182017962644</v>
      </c>
      <c r="AY168" s="7" t="n">
        <f aca="false">(AY165+AY166+AY167)*$D$18</f>
        <v>71.9716282001663</v>
      </c>
      <c r="AZ168" s="7" t="n">
        <f aca="false">(AZ165+AZ166+AZ167)*$D$18</f>
        <v>77.2852220912194</v>
      </c>
      <c r="BA168" s="7" t="n">
        <f aca="false">(BA165+BA166+BA167)*$D$18</f>
        <v>82.2807395556214</v>
      </c>
      <c r="BB168" s="7" t="n">
        <f aca="false">(BB165+BB166+BB167)*$D$18</f>
        <v>86.9784494251763</v>
      </c>
      <c r="BC168" s="7" t="n">
        <f aca="false">(BC165+BC166+BC167)*$D$18</f>
        <v>91.3972415347549</v>
      </c>
      <c r="BD168" s="7" t="n">
        <f aca="false">(BD165+BD166+BD167)*$D$18</f>
        <v>95.5547266529616</v>
      </c>
      <c r="BE168" s="7" t="n">
        <f aca="false">(BE165+BE166+BE167)*$D$18</f>
        <v>99.4673287558083</v>
      </c>
      <c r="BF168" s="7" t="n">
        <f aca="false">(BF165+BF166+BF167)*$D$18</f>
        <v>103.150370257447</v>
      </c>
      <c r="BG168" s="7" t="n">
        <f aca="false">(BG165+BG166+BG167)*$D$18</f>
        <v>106.618150761024</v>
      </c>
      <c r="BH168" s="7" t="n">
        <f aca="false">(BH165+BH166+BH167)*$D$18</f>
        <v>109.884019846063</v>
      </c>
      <c r="BI168" s="7" t="n">
        <f aca="false">(BI165+BI166+BI167)*$D$18</f>
        <v>112.960444366126</v>
      </c>
      <c r="BJ168" s="7" t="n">
        <f aca="false">(BJ165+BJ166+BJ167)*$D$18</f>
        <v>115.8590706914</v>
      </c>
      <c r="BK168" s="7" t="n">
        <f aca="false">(BK165+BK166+BK167)*$D$18</f>
        <v>118.590782295164</v>
      </c>
    </row>
    <row r="169" customFormat="false" ht="15" hidden="false" customHeight="false" outlineLevel="0" collapsed="false">
      <c r="A169" s="6" t="s">
        <v>209</v>
      </c>
      <c r="D169" s="7" t="n">
        <f aca="false">D161+D162-D164-D165-D166-D167-D168</f>
        <v>20.6615432859344</v>
      </c>
      <c r="E169" s="7" t="n">
        <f aca="false">E161+E162-E164-E165-E166-E167-E168</f>
        <v>42.4775215038528</v>
      </c>
      <c r="F169" s="7" t="n">
        <f aca="false">F161+F162-F164-F165-F166-F167-F168</f>
        <v>65.1955144673883</v>
      </c>
      <c r="G169" s="7" t="n">
        <f aca="false">G161+G162-G164-G165-G166-G167-G168</f>
        <v>88.9946937657933</v>
      </c>
      <c r="H169" s="7" t="n">
        <f aca="false">H161+H162-H164-H165-H166-H167-H168</f>
        <v>114.065546702052</v>
      </c>
      <c r="I169" s="7" t="n">
        <f aca="false">I161+I162-I164-I165-I166-I167-I168</f>
        <v>140.611525097858</v>
      </c>
      <c r="J169" s="7" t="n">
        <f aca="false">J161+J162-J164-J165-J166-J167-J168</f>
        <v>168.850816706363</v>
      </c>
      <c r="K169" s="7" t="n">
        <f aca="false">K161+K162-K164-K165-K166-K167-K168</f>
        <v>199.018255056411</v>
      </c>
      <c r="L169" s="7" t="n">
        <f aca="false">L161+L162-L164-L165-L166-L167-L168</f>
        <v>231.367384827501</v>
      </c>
      <c r="M169" s="7" t="n">
        <f aca="false">M161+M162-M164-M165-M166-M167-M168</f>
        <v>266.172701284636</v>
      </c>
      <c r="N169" s="7" t="n">
        <f aca="false">N161+N162-N164-N165-N166-N167-N168</f>
        <v>303.73208389951</v>
      </c>
      <c r="O169" s="7" t="n">
        <f aca="false">O161+O162-O164-O165-O166-O167-O168</f>
        <v>344.369446063884</v>
      </c>
      <c r="P169" s="7" t="n">
        <f aca="false">P161+P162-P164-P165-P166-P167-P168</f>
        <v>388.437624778608</v>
      </c>
      <c r="Q169" s="7" t="n">
        <f aca="false">Q161+Q162-Q164-Q165-Q166-Q167-Q168</f>
        <v>436.321536395684</v>
      </c>
      <c r="R169" s="7" t="n">
        <f aca="false">R161+R162-R164-R165-R166-R167-R168</f>
        <v>488.44162692098</v>
      </c>
      <c r="S169" s="7" t="n">
        <f aca="false">S161+S162-S164-S165-S166-S167-S168</f>
        <v>545.257648073891</v>
      </c>
      <c r="T169" s="7" t="n">
        <f aca="false">T161+T162-T164-T165-T166-T167-T168</f>
        <v>607.272793271817</v>
      </c>
      <c r="U169" s="7" t="n">
        <f aca="false">U161+U162-U164-U165-U166-U167-U168</f>
        <v>675.038230988943</v>
      </c>
      <c r="V169" s="7" t="n">
        <f aca="false">V161+V162-V164-V165-V166-V167-V168</f>
        <v>749.158076560234</v>
      </c>
      <c r="W169" s="7" t="n">
        <f aca="false">W161+W162-W164-W165-W166-W167-W168</f>
        <v>830.294847495827</v>
      </c>
      <c r="X169" s="7" t="n">
        <f aca="false">X161+X162-X164-X165-X166-X167-X168</f>
        <v>919.175451774465</v>
      </c>
      <c r="Y169" s="7" t="n">
        <f aca="false">Y161+Y162-Y164-Y165-Y166-Y167-Y168</f>
        <v>1016.59776343724</v>
      </c>
      <c r="Z169" s="7" t="n">
        <f aca="false">Z161+Z162-Z164-Z165-Z166-Z167-Z168</f>
        <v>1123.43784514904</v>
      </c>
      <c r="AA169" s="7" t="n">
        <f aca="false">AA161+AA162-AA164-AA165-AA166-AA167-AA168</f>
        <v>1240.65788328298</v>
      </c>
      <c r="AB169" s="7" t="n">
        <f aca="false">AB161+AB162-AB164-AB165-AB166-AB167-AB168</f>
        <v>1369.31490756704</v>
      </c>
      <c r="AC169" s="7" t="n">
        <f aca="false">AC161+AC162-AC164-AC165-AC166-AC167-AC168</f>
        <v>1510.57037446981</v>
      </c>
      <c r="AD169" s="7" t="n">
        <f aca="false">AD161+AD162-AD164-AD165-AD166-AD167-AD168</f>
        <v>1665.70070136025</v>
      </c>
      <c r="AE169" s="7" t="n">
        <f aca="false">AE161+AE162-AE164-AE165-AE166-AE167-AE168</f>
        <v>1836.1088471247</v>
      </c>
      <c r="AF169" s="7" t="n">
        <f aca="false">AF161+AF162-AF164-AF165-AF166-AF167-AF168</f>
        <v>2023.3370444423</v>
      </c>
      <c r="AG169" s="7" t="n">
        <f aca="false">AG161+AG162-AG164-AG165-AG166-AG167-AG168</f>
        <v>2229.08079939422</v>
      </c>
      <c r="AH169" s="7" t="n">
        <f aca="false">AH161+AH162-AH164-AH165-AH166-AH167-AH168</f>
        <v>2455.20428560757</v>
      </c>
      <c r="AI169" s="7" t="n">
        <f aca="false">AI161+AI162-AI164-AI165-AI166-AI167-AI168</f>
        <v>2703.75727281626</v>
      </c>
      <c r="AJ169" s="7" t="n">
        <f aca="false">AJ161+AJ162-AJ164-AJ165-AJ166-AJ167-AJ168</f>
        <v>2976.99374367425</v>
      </c>
      <c r="AK169" s="7" t="n">
        <f aca="false">AK161+AK162-AK164-AK165-AK166-AK167-AK168</f>
        <v>3277.39236800772</v>
      </c>
      <c r="AL169" s="7" t="n">
        <f aca="false">AL161+AL162-AL164-AL165-AL166-AL167-AL168</f>
        <v>3607.67902058188</v>
      </c>
      <c r="AM169" s="7" t="n">
        <f aca="false">AM161+AM162-AM164-AM165-AM166-AM167-AM168</f>
        <v>3970.85154703872</v>
      </c>
      <c r="AN169" s="7" t="n">
        <f aca="false">AN161+AN162-AN164-AN165-AN166-AN167-AN168</f>
        <v>4370.2070031026</v>
      </c>
      <c r="AO169" s="7" t="n">
        <f aca="false">AO161+AO162-AO164-AO165-AO166-AO167-AO168</f>
        <v>4809.37161463796</v>
      </c>
      <c r="AP169" s="7" t="n">
        <f aca="false">AP161+AP162-AP164-AP165-AP166-AP167-AP168</f>
        <v>5292.33373088066</v>
      </c>
      <c r="AQ169" s="7" t="n">
        <f aca="false">AQ161+AQ162-AQ164-AQ165-AQ166-AQ167-AQ168</f>
        <v>5823.48007037774</v>
      </c>
      <c r="AR169" s="7" t="n">
        <f aca="false">AR161+AR162-AR164-AR165-AR166-AR167-AR168</f>
        <v>6407.63558910646</v>
      </c>
      <c r="AS169" s="7" t="n">
        <f aca="false">AS161+AS162-AS164-AS165-AS166-AS167-AS168</f>
        <v>7050.10733317439</v>
      </c>
      <c r="AT169" s="7" t="n">
        <f aca="false">AT161+AT162-AT164-AT165-AT166-AT167-AT168</f>
        <v>7756.73267472789</v>
      </c>
      <c r="AU169" s="7" t="n">
        <f aca="false">AU161+AU162-AU164-AU165-AU166-AU167-AU168</f>
        <v>8533.93236954555</v>
      </c>
      <c r="AV169" s="7" t="n">
        <f aca="false">AV161+AV162-AV164-AV165-AV166-AV167-AV168</f>
        <v>9388.76891862858</v>
      </c>
      <c r="AW169" s="7" t="n">
        <f aca="false">AW161+AW162-AW164-AW165-AW166-AW167-AW168</f>
        <v>10329.0107643198</v>
      </c>
      <c r="AX169" s="7" t="n">
        <f aca="false">AX161+AX162-AX164-AX165-AX166-AX167-AX168</f>
        <v>11359.4934952285</v>
      </c>
      <c r="AY169" s="7" t="n">
        <f aca="false">AY161+AY162-AY164-AY165-AY166-AY167-AY168</f>
        <v>12327.826144008</v>
      </c>
      <c r="AZ169" s="7" t="n">
        <f aca="false">AZ161+AZ162-AZ164-AZ165-AZ166-AZ167-AZ168</f>
        <v>13235.1574466245</v>
      </c>
      <c r="BA169" s="7" t="n">
        <f aca="false">BA161+BA162-BA164-BA165-BA166-BA167-BA168</f>
        <v>14085.6116693867</v>
      </c>
      <c r="BB169" s="7" t="n">
        <f aca="false">BB161+BB162-BB164-BB165-BB166-BB167-BB168</f>
        <v>14883.0147081954</v>
      </c>
      <c r="BC169" s="7" t="n">
        <f aca="false">BC161+BC162-BC164-BC165-BC166-BC167-BC168</f>
        <v>15630.9169842641</v>
      </c>
      <c r="BD169" s="7" t="n">
        <f aca="false">BD161+BD162-BD164-BD165-BD166-BD167-BD168</f>
        <v>16332.6144981788</v>
      </c>
      <c r="BE169" s="7" t="n">
        <f aca="false">BE161+BE162-BE164-BE165-BE166-BE167-BE168</f>
        <v>16991.1681957402</v>
      </c>
      <c r="BF169" s="7" t="n">
        <f aca="false">BF161+BF162-BF164-BF165-BF166-BF167-BF168</f>
        <v>17609.4217859247</v>
      </c>
      <c r="BG169" s="7" t="n">
        <f aca="false">BG161+BG162-BG164-BG165-BG166-BG167-BG168</f>
        <v>18190.0181393312</v>
      </c>
      <c r="BH169" s="7" t="n">
        <f aca="false">BH161+BH162-BH164-BH165-BH166-BH167-BH168</f>
        <v>18735.414384548</v>
      </c>
      <c r="BI169" s="7" t="n">
        <f aca="false">BI161+BI162-BI164-BI165-BI166-BI167-BI168</f>
        <v>19247.8958098931</v>
      </c>
      <c r="BJ169" s="7" t="n">
        <f aca="false">BJ161+BJ162-BJ164-BJ165-BJ166-BJ167-BJ168</f>
        <v>19729.5886688631</v>
      </c>
      <c r="BK169" s="7" t="n">
        <f aca="false">BK161+BK162-BK164-BK165-BK166-BK167-BK168</f>
        <v>20182.4719792965</v>
      </c>
    </row>
    <row r="170" customFormat="false" ht="15" hidden="false" customHeight="false" outlineLevel="0" collapsed="false">
      <c r="A170" s="0" t="s">
        <v>210</v>
      </c>
      <c r="D170" s="31" t="n">
        <f aca="false">IF((D161+D162)&gt;0,D169/(D161+D162),0)</f>
        <v>0.858910868710745</v>
      </c>
      <c r="E170" s="31" t="n">
        <f aca="false">IF((E161+E162)&gt;0,E169/(E161+E162),0)</f>
        <v>0.859775179866204</v>
      </c>
      <c r="F170" s="31" t="n">
        <f aca="false">IF((F161+F162)&gt;0,F169/(F161+F162),0)</f>
        <v>0.859999484946115</v>
      </c>
      <c r="G170" s="31" t="n">
        <f aca="false">IF((G161+G162)&gt;0,G169/(G161+G162),0)</f>
        <v>0.860070712193898</v>
      </c>
      <c r="H170" s="31" t="n">
        <f aca="false">IF((H161+H162)&gt;0,H169/(H161+H162),0)</f>
        <v>0.860084653433241</v>
      </c>
      <c r="I170" s="31" t="n">
        <f aca="false">IF((I161+I162)&gt;0,I169/(I161+I162),0)</f>
        <v>0.860072881909741</v>
      </c>
      <c r="J170" s="31" t="n">
        <f aca="false">IF((J161+J162)&gt;0,J169/(J161+J162),0)</f>
        <v>0.860048730505041</v>
      </c>
      <c r="K170" s="31" t="n">
        <f aca="false">IF((K161+K162)&gt;0,K169/(K161+K162),0)</f>
        <v>0.860018710696808</v>
      </c>
      <c r="L170" s="31" t="n">
        <f aca="false">IF((L161+L162)&gt;0,L169/(L161+L162),0)</f>
        <v>0.859986305888428</v>
      </c>
      <c r="M170" s="31" t="n">
        <f aca="false">IF((M161+M162)&gt;0,M169/(M161+M162),0)</f>
        <v>0.859953486648656</v>
      </c>
      <c r="N170" s="31" t="n">
        <f aca="false">IF((N161+N162)&gt;0,N169/(N161+N162),0)</f>
        <v>0.859921399813542</v>
      </c>
      <c r="O170" s="31" t="n">
        <f aca="false">IF((O161+O162)&gt;0,O169/(O161+O162),0)</f>
        <v>0.859890713934605</v>
      </c>
      <c r="P170" s="31" t="n">
        <f aca="false">IF((P161+P162)&gt;0,P169/(P161+P162),0)</f>
        <v>0.859861806205563</v>
      </c>
      <c r="Q170" s="31" t="n">
        <f aca="false">IF((Q161+Q162)&gt;0,Q169/(Q161+Q162),0)</f>
        <v>0.859834870059499</v>
      </c>
      <c r="R170" s="31" t="n">
        <f aca="false">IF((R161+R162)&gt;0,R169/(R161+R162),0)</f>
        <v>0.859809980336683</v>
      </c>
      <c r="S170" s="31" t="n">
        <f aca="false">IF((S161+S162)&gt;0,S169/(S161+S162),0)</f>
        <v>0.859787134454146</v>
      </c>
      <c r="T170" s="31" t="n">
        <f aca="false">IF((T161+T162)&gt;0,T169/(T161+T162),0)</f>
        <v>0.859766279332234</v>
      </c>
      <c r="U170" s="31" t="n">
        <f aca="false">IF((U161+U162)&gt;0,U169/(U161+U162),0)</f>
        <v>0.859747329503572</v>
      </c>
      <c r="V170" s="31" t="n">
        <f aca="false">IF((V161+V162)&gt;0,V169/(V161+V162),0)</f>
        <v>0.859730179555509</v>
      </c>
      <c r="W170" s="31" t="n">
        <f aca="false">IF((W161+W162)&gt;0,W169/(W161+W162),0)</f>
        <v>0.859714712808658</v>
      </c>
      <c r="X170" s="31" t="n">
        <f aca="false">IF((X161+X162)&gt;0,X169/(X161+X162),0)</f>
        <v>0.859700807421822</v>
      </c>
      <c r="Y170" s="31" t="n">
        <f aca="false">IF((Y161+Y162)&gt;0,Y169/(Y161+Y162),0)</f>
        <v>0.859688340692862</v>
      </c>
      <c r="Z170" s="31" t="n">
        <f aca="false">IF((Z161+Z162)&gt;0,Z169/(Z161+Z162),0)</f>
        <v>0.859677192068601</v>
      </c>
      <c r="AA170" s="31" t="n">
        <f aca="false">IF((AA161+AA162)&gt;0,AA169/(AA161+AA162),0)</f>
        <v>0.859667245215766</v>
      </c>
      <c r="AB170" s="31" t="n">
        <f aca="false">IF((AB161+AB162)&gt;0,AB169/(AB161+AB162),0)</f>
        <v>0.859658389400852</v>
      </c>
      <c r="AC170" s="31" t="n">
        <f aca="false">IF((AC161+AC162)&gt;0,AC169/(AC161+AC162),0)</f>
        <v>0.859650520357676</v>
      </c>
      <c r="AD170" s="31" t="n">
        <f aca="false">IF((AD161+AD162)&gt;0,AD169/(AD161+AD162),0)</f>
        <v>0.859643540774136</v>
      </c>
      <c r="AE170" s="31" t="n">
        <f aca="false">IF((AE161+AE162)&gt;0,AE169/(AE161+AE162),0)</f>
        <v>0.859637360496634</v>
      </c>
      <c r="AF170" s="31" t="n">
        <f aca="false">IF((AF161+AF162)&gt;0,AF169/(AF161+AF162),0)</f>
        <v>0.859631896526802</v>
      </c>
      <c r="AG170" s="31" t="n">
        <f aca="false">IF((AG161+AG162)&gt;0,AG169/(AG161+AG162),0)</f>
        <v>0.859627072867736</v>
      </c>
      <c r="AH170" s="31" t="n">
        <f aca="false">IF((AH161+AH162)&gt;0,AH169/(AH161+AH162),0)</f>
        <v>0.859622820263742</v>
      </c>
      <c r="AI170" s="31" t="n">
        <f aca="false">IF((AI161+AI162)&gt;0,AI169/(AI161+AI162),0)</f>
        <v>0.85961907586762</v>
      </c>
      <c r="AJ170" s="31" t="n">
        <f aca="false">IF((AJ161+AJ162)&gt;0,AJ169/(AJ161+AJ162),0)</f>
        <v>0.859615782861701</v>
      </c>
      <c r="AK170" s="31" t="n">
        <f aca="false">IF((AK161+AK162)&gt;0,AK169/(AK161+AK162),0)</f>
        <v>0.859612890052753</v>
      </c>
      <c r="AL170" s="31" t="n">
        <f aca="false">IF((AL161+AL162)&gt;0,AL169/(AL161+AL162),0)</f>
        <v>0.859610351456088</v>
      </c>
      <c r="AM170" s="31" t="n">
        <f aca="false">IF((AM161+AM162)&gt;0,AM169/(AM161+AM162),0)</f>
        <v>0.859608125880351</v>
      </c>
      <c r="AN170" s="31" t="n">
        <f aca="false">IF((AN161+AN162)&gt;0,AN169/(AN161+AN162),0)</f>
        <v>0.859606176521461</v>
      </c>
      <c r="AO170" s="31" t="n">
        <f aca="false">IF((AO161+AO162)&gt;0,AO169/(AO161+AO162),0)</f>
        <v>0.859604470571771</v>
      </c>
      <c r="AP170" s="31" t="n">
        <f aca="false">IF((AP161+AP162)&gt;0,AP169/(AP161+AP162),0)</f>
        <v>0.859602978848623</v>
      </c>
      <c r="AQ170" s="31" t="n">
        <f aca="false">IF((AQ161+AQ162)&gt;0,AQ169/(AQ161+AQ162),0)</f>
        <v>0.859601675444961</v>
      </c>
      <c r="AR170" s="31" t="n">
        <f aca="false">IF((AR161+AR162)&gt;0,AR169/(AR161+AR162),0)</f>
        <v>0.859600537403534</v>
      </c>
      <c r="AS170" s="31" t="n">
        <f aca="false">IF((AS161+AS162)&gt;0,AS169/(AS161+AS162),0)</f>
        <v>0.859599544415321</v>
      </c>
      <c r="AT170" s="31" t="n">
        <f aca="false">IF((AT161+AT162)&gt;0,AT169/(AT161+AT162),0)</f>
        <v>0.859598678542131</v>
      </c>
      <c r="AU170" s="31" t="n">
        <f aca="false">IF((AU161+AU162)&gt;0,AU169/(AU161+AU162),0)</f>
        <v>0.859597923962849</v>
      </c>
      <c r="AV170" s="31" t="n">
        <f aca="false">IF((AV161+AV162)&gt;0,AV169/(AV161+AV162),0)</f>
        <v>0.85959726674243</v>
      </c>
      <c r="AW170" s="31" t="n">
        <f aca="false">IF((AW161+AW162)&gt;0,AW169/(AW161+AW162),0)</f>
        <v>0.859596694622498</v>
      </c>
      <c r="AX170" s="31" t="n">
        <f aca="false">IF((AX161+AX162)&gt;0,AX169/(AX161+AX162),0)</f>
        <v>0.859596420802772</v>
      </c>
      <c r="AY170" s="31" t="n">
        <f aca="false">IF((AY161+AY162)&gt;0,AY169/(AY161+AY162),0)</f>
        <v>0.85960484349447</v>
      </c>
      <c r="AZ170" s="31" t="n">
        <f aca="false">IF((AZ161+AZ162)&gt;0,AZ169/(AZ161+AZ162),0)</f>
        <v>0.85959897079306</v>
      </c>
      <c r="BA170" s="31" t="n">
        <f aca="false">IF((BA161+BA162)&gt;0,BA169/(BA161+BA162),0)</f>
        <v>0.859583244223863</v>
      </c>
      <c r="BB170" s="31" t="n">
        <f aca="false">IF((BB161+BB162)&gt;0,BB169/(BB161+BB162),0)</f>
        <v>0.859560656894942</v>
      </c>
      <c r="BC170" s="31" t="n">
        <f aca="false">IF((BC161+BC162)&gt;0,BC169/(BC161+BC162),0)</f>
        <v>0.859533290972883</v>
      </c>
      <c r="BD170" s="31" t="n">
        <f aca="false">IF((BD161+BD162)&gt;0,BD169/(BD161+BD162),0)</f>
        <v>0.859502632394906</v>
      </c>
      <c r="BE170" s="31" t="n">
        <f aca="false">IF((BE161+BE162)&gt;0,BE169/(BE161+BE162),0)</f>
        <v>0.859469763604778</v>
      </c>
      <c r="BF170" s="31" t="n">
        <f aca="false">IF((BF161+BF162)&gt;0,BF169/(BF161+BF162),0)</f>
        <v>0.859435486146256</v>
      </c>
      <c r="BG170" s="31" t="n">
        <f aca="false">IF((BG161+BG162)&gt;0,BG169/(BG161+BG162),0)</f>
        <v>0.859400401212556</v>
      </c>
      <c r="BH170" s="31" t="n">
        <f aca="false">IF((BH161+BH162)&gt;0,BH169/(BH161+BH162),0)</f>
        <v>0.859364964080459</v>
      </c>
      <c r="BI170" s="31" t="n">
        <f aca="false">IF((BI161+BI162)&gt;0,BI169/(BI161+BI162),0)</f>
        <v>0.859329521813065</v>
      </c>
      <c r="BJ170" s="31" t="n">
        <f aca="false">IF((BJ161+BJ162)&gt;0,BJ169/(BJ161+BJ162),0)</f>
        <v>0.859294339948083</v>
      </c>
      <c r="BK170" s="31" t="n">
        <f aca="false">IF((BK161+BK162)&gt;0,BK169/(BK161+BK162),0)</f>
        <v>0.859259621758534</v>
      </c>
    </row>
    <row r="171" customFormat="false" ht="15" hidden="false" customHeight="false" outlineLevel="0" collapsed="false">
      <c r="A171" s="0" t="s">
        <v>211</v>
      </c>
      <c r="C171" s="0" t="n">
        <v>0</v>
      </c>
      <c r="D171" s="12" t="n">
        <f aca="false">C171*(1-$D$47)+MAX(0,D145-D146)</f>
        <v>16.2</v>
      </c>
      <c r="E171" s="12" t="n">
        <f aca="false">D171*(1-$D$47)+MAX(0,E145-E146)</f>
        <v>29.16</v>
      </c>
      <c r="F171" s="12" t="n">
        <f aca="false">E171*(1-$D$47)+MAX(0,F145-F146)</f>
        <v>40.014</v>
      </c>
      <c r="G171" s="12" t="n">
        <f aca="false">F171*(1-$D$47)+MAX(0,G145-G146)</f>
        <v>49.572</v>
      </c>
      <c r="H171" s="12" t="n">
        <f aca="false">G171*(1-$D$47)+MAX(0,H145-H146)</f>
        <v>58.41882</v>
      </c>
      <c r="I171" s="12" t="n">
        <f aca="false">H171*(1-$D$47)+MAX(0,I145-I146)</f>
        <v>66.983436</v>
      </c>
      <c r="J171" s="12" t="n">
        <f aca="false">I171*(1-$D$47)+MAX(0,J145-J146)</f>
        <v>75.5876934</v>
      </c>
      <c r="K171" s="12" t="n">
        <f aca="false">J171*(1-$D$47)+MAX(0,K145-K146)</f>
        <v>84.4806024</v>
      </c>
      <c r="L171" s="12" t="n">
        <f aca="false">K171*(1-$D$47)+MAX(0,L145-L146)</f>
        <v>93.862560402</v>
      </c>
      <c r="M171" s="12" t="n">
        <f aca="false">L171*(1-$D$47)+MAX(0,M145-M146)</f>
        <v>103.9025448756</v>
      </c>
      <c r="N171" s="12" t="n">
        <f aca="false">M171*(1-$D$47)+MAX(0,N145-N146)</f>
        <v>114.75040926654</v>
      </c>
      <c r="O171" s="12" t="n">
        <f aca="false">N171*(1-$D$47)+MAX(0,O145-O146)</f>
        <v>126.54577712556</v>
      </c>
      <c r="P171" s="12" t="n">
        <f aca="false">O171*(1-$D$47)+MAX(0,P145-P146)</f>
        <v>139.424583690772</v>
      </c>
      <c r="Q171" s="12" t="n">
        <f aca="false">P171*(1-$D$47)+MAX(0,Q145-Q146)</f>
        <v>153.524002256709</v>
      </c>
      <c r="R171" s="12" t="n">
        <f aca="false">Q171*(1-$D$47)+MAX(0,R145-R146)</f>
        <v>168.986274620181</v>
      </c>
      <c r="S171" s="12" t="n">
        <f aca="false">R171*(1-$D$47)+MAX(0,S145-S146)</f>
        <v>185.961812578661</v>
      </c>
      <c r="T171" s="12" t="n">
        <f aca="false">S171*(1-$D$47)+MAX(0,T145-T146)</f>
        <v>204.611831184049</v>
      </c>
      <c r="U171" s="12" t="n">
        <f aca="false">T171*(1-$D$47)+MAX(0,U145-U146)</f>
        <v>225.11070044572</v>
      </c>
      <c r="V171" s="12" t="n">
        <f aca="false">U171*(1-$D$47)+MAX(0,V145-V146)</f>
        <v>247.648150790578</v>
      </c>
      <c r="W171" s="12" t="n">
        <f aca="false">V171*(1-$D$47)+MAX(0,W145-W146)</f>
        <v>272.431432079837</v>
      </c>
      <c r="X171" s="12" t="n">
        <f aca="false">W171*(1-$D$47)+MAX(0,X145-X146)</f>
        <v>299.687501634961</v>
      </c>
      <c r="Y171" s="12" t="n">
        <f aca="false">X171*(1-$D$47)+MAX(0,Y145-Y146)</f>
        <v>329.665300241455</v>
      </c>
      <c r="Z171" s="12" t="n">
        <f aca="false">Y171*(1-$D$47)+MAX(0,Z145-Z146)</f>
        <v>362.638164175699</v>
      </c>
      <c r="AA171" s="12" t="n">
        <f aca="false">Z171*(1-$D$47)+MAX(0,AA145-AA146)</f>
        <v>398.906414330338</v>
      </c>
      <c r="AB171" s="12" t="n">
        <f aca="false">AA171*(1-$D$47)+MAX(0,AB145-AB146)</f>
        <v>438.80015937932</v>
      </c>
      <c r="AC171" s="12" t="n">
        <f aca="false">AB171*(1-$D$47)+MAX(0,AC145-AC146)</f>
        <v>482.682347848416</v>
      </c>
      <c r="AD171" s="12" t="n">
        <f aca="false">AC171*(1-$D$47)+MAX(0,AD145-AD146)</f>
        <v>530.952103405073</v>
      </c>
      <c r="AE171" s="12" t="n">
        <f aca="false">AD171*(1-$D$47)+MAX(0,AE145-AE146)</f>
        <v>584.04837828585</v>
      </c>
      <c r="AF171" s="12" t="n">
        <f aca="false">AE171*(1-$D$47)+MAX(0,AF145-AF146)</f>
        <v>642.453961292624</v>
      </c>
      <c r="AG171" s="12" t="n">
        <f aca="false">AF171*(1-$D$47)+MAX(0,AG145-AG146)</f>
        <v>706.699879046619</v>
      </c>
      <c r="AH171" s="12" t="n">
        <f aca="false">AG171*(1-$D$47)+MAX(0,AH145-AH146)</f>
        <v>777.370232088594</v>
      </c>
      <c r="AI171" s="12" t="n">
        <f aca="false">AH171*(1-$D$47)+MAX(0,AI145-AI146)</f>
        <v>855.107510893572</v>
      </c>
      <c r="AJ171" s="12" t="n">
        <f aca="false">AI171*(1-$D$47)+MAX(0,AJ145-AJ146)</f>
        <v>940.618440900213</v>
      </c>
      <c r="AK171" s="12" t="n">
        <f aca="false">AJ171*(1-$D$47)+MAX(0,AK145-AK146)</f>
        <v>1034.68041023233</v>
      </c>
      <c r="AL171" s="12" t="n">
        <f aca="false">AK171*(1-$D$47)+MAX(0,AL145-AL146)</f>
        <v>1138.14853892503</v>
      </c>
      <c r="AM171" s="12" t="n">
        <f aca="false">AL171*(1-$D$47)+MAX(0,AM145-AM146)</f>
        <v>1251.96345418617</v>
      </c>
      <c r="AN171" s="12" t="n">
        <f aca="false">AM171*(1-$D$47)+MAX(0,AN145-AN146)</f>
        <v>1377.15984256282</v>
      </c>
      <c r="AO171" s="12" t="n">
        <f aca="false">AN171*(1-$D$47)+MAX(0,AO145-AO146)</f>
        <v>1514.87585688973</v>
      </c>
      <c r="AP171" s="12" t="n">
        <f aca="false">AO171*(1-$D$47)+MAX(0,AP145-AP146)</f>
        <v>1666.36346362815</v>
      </c>
      <c r="AQ171" s="12" t="n">
        <f aca="false">AP171*(1-$D$47)+MAX(0,AQ145-AQ146)</f>
        <v>1832.99982472557</v>
      </c>
      <c r="AR171" s="12" t="n">
        <f aca="false">AQ171*(1-$D$47)+MAX(0,AR145-AR146)</f>
        <v>2016.29981751235</v>
      </c>
      <c r="AS171" s="12" t="n">
        <f aca="false">AR171*(1-$D$47)+MAX(0,AS145-AS146)</f>
        <v>2217.92980648354</v>
      </c>
      <c r="AT171" s="12" t="n">
        <f aca="false">AS171*(1-$D$47)+MAX(0,AT145-AT146)</f>
        <v>2439.72279218587</v>
      </c>
      <c r="AU171" s="12" t="n">
        <f aca="false">AT171*(1-$D$47)+MAX(0,AU145-AU146)</f>
        <v>2683.69507494224</v>
      </c>
      <c r="AV171" s="12" t="n">
        <f aca="false">AU171*(1-$D$47)+MAX(0,AV145-AV146)</f>
        <v>2952.0645849129</v>
      </c>
      <c r="AW171" s="12" t="n">
        <f aca="false">AV171*(1-$D$47)+MAX(0,AW145-AW146)</f>
        <v>3247.27104513771</v>
      </c>
      <c r="AX171" s="12" t="n">
        <f aca="false">AW171*(1-$D$47)+MAX(0,AX145-AX146)</f>
        <v>3569.0897315964</v>
      </c>
      <c r="AY171" s="12" t="n">
        <f aca="false">AX171*(1-$D$47)+MAX(0,AY145-AY146)</f>
        <v>3794.36281211748</v>
      </c>
      <c r="AZ171" s="12" t="n">
        <f aca="false">AY171*(1-$D$47)+MAX(0,AZ145-AZ146)</f>
        <v>3952.05396848223</v>
      </c>
      <c r="BA171" s="12" t="n">
        <f aca="false">AZ171*(1-$D$47)+MAX(0,BA145-BA146)</f>
        <v>4062.43777793756</v>
      </c>
      <c r="BB171" s="12" t="n">
        <f aca="false">BA171*(1-$D$47)+MAX(0,BB145-BB146)</f>
        <v>4139.70644455629</v>
      </c>
      <c r="BC171" s="12" t="n">
        <f aca="false">BB171*(1-$D$47)+MAX(0,BC145-BC146)</f>
        <v>4193.79451118941</v>
      </c>
      <c r="BD171" s="12" t="n">
        <f aca="false">BC171*(1-$D$47)+MAX(0,BD145-BD146)</f>
        <v>4231.65615783258</v>
      </c>
      <c r="BE171" s="12" t="n">
        <f aca="false">BD171*(1-$D$47)+MAX(0,BE145-BE146)</f>
        <v>4258.15931048281</v>
      </c>
      <c r="BF171" s="12" t="n">
        <f aca="false">BE171*(1-$D$47)+MAX(0,BF145-BF146)</f>
        <v>4276.71151733797</v>
      </c>
      <c r="BG171" s="12" t="n">
        <f aca="false">BF171*(1-$D$47)+MAX(0,BG145-BG146)</f>
        <v>4289.69806213658</v>
      </c>
      <c r="BH171" s="12" t="n">
        <f aca="false">BG171*(1-$D$47)+MAX(0,BH145-BH146)</f>
        <v>4298.7886434956</v>
      </c>
      <c r="BI171" s="12" t="n">
        <f aca="false">BH171*(1-$D$47)+MAX(0,BI145-BI146)</f>
        <v>4305.15205044692</v>
      </c>
      <c r="BJ171" s="12" t="n">
        <f aca="false">BI171*(1-$D$47)+MAX(0,BJ145-BJ146)</f>
        <v>4309.60643531285</v>
      </c>
      <c r="BK171" s="12" t="n">
        <f aca="false">BJ171*(1-$D$47)+MAX(0,BK145-BK146)</f>
        <v>4312.72450471899</v>
      </c>
    </row>
    <row r="172" customFormat="false" ht="15" hidden="false" customHeight="false" outlineLevel="0" collapsed="false">
      <c r="A172" s="0" t="s">
        <v>212</v>
      </c>
      <c r="D172" s="12" t="n">
        <f aca="false">D171*$D$48</f>
        <v>129.6</v>
      </c>
      <c r="E172" s="12" t="n">
        <f aca="false">E171*$D$48</f>
        <v>233.28</v>
      </c>
      <c r="F172" s="12" t="n">
        <f aca="false">F171*$D$48</f>
        <v>320.112</v>
      </c>
      <c r="G172" s="12" t="n">
        <f aca="false">G171*$D$48</f>
        <v>396.576</v>
      </c>
      <c r="H172" s="12" t="n">
        <f aca="false">H171*$D$48</f>
        <v>467.35056</v>
      </c>
      <c r="I172" s="12" t="n">
        <f aca="false">I171*$D$48</f>
        <v>535.867488</v>
      </c>
      <c r="J172" s="12" t="n">
        <f aca="false">J171*$D$48</f>
        <v>604.7015472</v>
      </c>
      <c r="K172" s="12" t="n">
        <f aca="false">K171*$D$48</f>
        <v>675.8448192</v>
      </c>
      <c r="L172" s="12" t="n">
        <f aca="false">L171*$D$48</f>
        <v>750.900483216</v>
      </c>
      <c r="M172" s="12" t="n">
        <f aca="false">M171*$D$48</f>
        <v>831.220359004801</v>
      </c>
      <c r="N172" s="12" t="n">
        <f aca="false">N171*$D$48</f>
        <v>918.003274132321</v>
      </c>
      <c r="O172" s="12" t="n">
        <f aca="false">O171*$D$48</f>
        <v>1012.36621700448</v>
      </c>
      <c r="P172" s="12" t="n">
        <f aca="false">P171*$D$48</f>
        <v>1115.39666952618</v>
      </c>
      <c r="Q172" s="12" t="n">
        <f aca="false">Q171*$D$48</f>
        <v>1228.19201805367</v>
      </c>
      <c r="R172" s="12" t="n">
        <f aca="false">R171*$D$48</f>
        <v>1351.89019696145</v>
      </c>
      <c r="S172" s="12" t="n">
        <f aca="false">S171*$D$48</f>
        <v>1487.69450062928</v>
      </c>
      <c r="T172" s="12" t="n">
        <f aca="false">T171*$D$48</f>
        <v>1636.8946494724</v>
      </c>
      <c r="U172" s="12" t="n">
        <f aca="false">U171*$D$48</f>
        <v>1800.88560356576</v>
      </c>
      <c r="V172" s="12" t="n">
        <f aca="false">V171*$D$48</f>
        <v>1981.18520632463</v>
      </c>
      <c r="W172" s="12" t="n">
        <f aca="false">W171*$D$48</f>
        <v>2179.45145663869</v>
      </c>
      <c r="X172" s="12" t="n">
        <f aca="false">X171*$D$48</f>
        <v>2397.50001307968</v>
      </c>
      <c r="Y172" s="12" t="n">
        <f aca="false">Y171*$D$48</f>
        <v>2637.32240193164</v>
      </c>
      <c r="Z172" s="12" t="n">
        <f aca="false">Z171*$D$48</f>
        <v>2901.10531340559</v>
      </c>
      <c r="AA172" s="12" t="n">
        <f aca="false">AA171*$D$48</f>
        <v>3191.2513146427</v>
      </c>
      <c r="AB172" s="12" t="n">
        <f aca="false">AB171*$D$48</f>
        <v>3510.40127503456</v>
      </c>
      <c r="AC172" s="12" t="n">
        <f aca="false">AC171*$D$48</f>
        <v>3861.45878278733</v>
      </c>
      <c r="AD172" s="12" t="n">
        <f aca="false">AD171*$D$48</f>
        <v>4247.61682724058</v>
      </c>
      <c r="AE172" s="12" t="n">
        <f aca="false">AE171*$D$48</f>
        <v>4672.3870262868</v>
      </c>
      <c r="AF172" s="12" t="n">
        <f aca="false">AF171*$D$48</f>
        <v>5139.63169034099</v>
      </c>
      <c r="AG172" s="12" t="n">
        <f aca="false">AG171*$D$48</f>
        <v>5653.59903237295</v>
      </c>
      <c r="AH172" s="12" t="n">
        <f aca="false">AH171*$D$48</f>
        <v>6218.96185670875</v>
      </c>
      <c r="AI172" s="12" t="n">
        <f aca="false">AI171*$D$48</f>
        <v>6840.86008714858</v>
      </c>
      <c r="AJ172" s="12" t="n">
        <f aca="false">AJ171*$D$48</f>
        <v>7524.9475272017</v>
      </c>
      <c r="AK172" s="12" t="n">
        <f aca="false">AK171*$D$48</f>
        <v>8277.44328185866</v>
      </c>
      <c r="AL172" s="12" t="n">
        <f aca="false">AL171*$D$48</f>
        <v>9105.18831140028</v>
      </c>
      <c r="AM172" s="12" t="n">
        <f aca="false">AM171*$D$48</f>
        <v>10015.7076334893</v>
      </c>
      <c r="AN172" s="12" t="n">
        <f aca="false">AN171*$D$48</f>
        <v>11017.2787405026</v>
      </c>
      <c r="AO172" s="12" t="n">
        <f aca="false">AO171*$D$48</f>
        <v>12119.0068551179</v>
      </c>
      <c r="AP172" s="12" t="n">
        <f aca="false">AP171*$D$48</f>
        <v>13330.9077090252</v>
      </c>
      <c r="AQ172" s="12" t="n">
        <f aca="false">AQ171*$D$48</f>
        <v>14663.9985978045</v>
      </c>
      <c r="AR172" s="12" t="n">
        <f aca="false">AR171*$D$48</f>
        <v>16130.3985400988</v>
      </c>
      <c r="AS172" s="12" t="n">
        <f aca="false">AS171*$D$48</f>
        <v>17743.4384518683</v>
      </c>
      <c r="AT172" s="12" t="n">
        <f aca="false">AT171*$D$48</f>
        <v>19517.7823374869</v>
      </c>
      <c r="AU172" s="12" t="n">
        <f aca="false">AU171*$D$48</f>
        <v>21469.5605995379</v>
      </c>
      <c r="AV172" s="12" t="n">
        <f aca="false">AV171*$D$48</f>
        <v>23616.5166793032</v>
      </c>
      <c r="AW172" s="12" t="n">
        <f aca="false">AW171*$D$48</f>
        <v>25978.1683611017</v>
      </c>
      <c r="AX172" s="12" t="n">
        <f aca="false">AX171*$D$48</f>
        <v>28552.7178527712</v>
      </c>
      <c r="AY172" s="12" t="n">
        <f aca="false">AY171*$D$48</f>
        <v>30354.9024969398</v>
      </c>
      <c r="AZ172" s="12" t="n">
        <f aca="false">AZ171*$D$48</f>
        <v>31616.4317478579</v>
      </c>
      <c r="BA172" s="12" t="n">
        <f aca="false">BA171*$D$48</f>
        <v>32499.5022235005</v>
      </c>
      <c r="BB172" s="12" t="n">
        <f aca="false">BB171*$D$48</f>
        <v>33117.6515564504</v>
      </c>
      <c r="BC172" s="12" t="n">
        <f aca="false">BC171*$D$48</f>
        <v>33550.3560895153</v>
      </c>
      <c r="BD172" s="12" t="n">
        <f aca="false">BD171*$D$48</f>
        <v>33853.2492626607</v>
      </c>
      <c r="BE172" s="12" t="n">
        <f aca="false">BE171*$D$48</f>
        <v>34065.2744838625</v>
      </c>
      <c r="BF172" s="12" t="n">
        <f aca="false">BF171*$D$48</f>
        <v>34213.6921387037</v>
      </c>
      <c r="BG172" s="12" t="n">
        <f aca="false">BG171*$D$48</f>
        <v>34317.5844970926</v>
      </c>
      <c r="BH172" s="12" t="n">
        <f aca="false">BH171*$D$48</f>
        <v>34390.3091479648</v>
      </c>
      <c r="BI172" s="12" t="n">
        <f aca="false">BI171*$D$48</f>
        <v>34441.2164035754</v>
      </c>
      <c r="BJ172" s="12" t="n">
        <f aca="false">BJ171*$D$48</f>
        <v>34476.8514825028</v>
      </c>
      <c r="BK172" s="12" t="n">
        <f aca="false">BK171*$D$48</f>
        <v>34501.7960377519</v>
      </c>
    </row>
    <row r="173" customFormat="false" ht="15" hidden="false" customHeight="false" outlineLevel="0" collapsed="false">
      <c r="A173" s="0" t="s">
        <v>213</v>
      </c>
      <c r="D173" s="12" t="n">
        <f aca="false">$D$49*30</f>
        <v>4615.38461538462</v>
      </c>
      <c r="E173" s="12" t="n">
        <f aca="false">$D$49*30</f>
        <v>4615.38461538462</v>
      </c>
      <c r="F173" s="12" t="n">
        <f aca="false">$D$49*30</f>
        <v>4615.38461538462</v>
      </c>
      <c r="G173" s="12" t="n">
        <f aca="false">$D$49*30</f>
        <v>4615.38461538462</v>
      </c>
      <c r="H173" s="12" t="n">
        <f aca="false">$D$49*30</f>
        <v>4615.38461538462</v>
      </c>
      <c r="I173" s="12" t="n">
        <f aca="false">$D$49*30</f>
        <v>4615.38461538462</v>
      </c>
      <c r="J173" s="12" t="n">
        <f aca="false">$D$49*30</f>
        <v>4615.38461538462</v>
      </c>
      <c r="K173" s="12" t="n">
        <f aca="false">$D$49*30</f>
        <v>4615.38461538462</v>
      </c>
      <c r="L173" s="12" t="n">
        <f aca="false">$D$49*30</f>
        <v>4615.38461538462</v>
      </c>
      <c r="M173" s="12" t="n">
        <f aca="false">$D$49*30</f>
        <v>4615.38461538462</v>
      </c>
      <c r="N173" s="12" t="n">
        <f aca="false">$D$49*30</f>
        <v>4615.38461538462</v>
      </c>
      <c r="O173" s="12" t="n">
        <f aca="false">$D$49*30</f>
        <v>4615.38461538462</v>
      </c>
      <c r="P173" s="12" t="n">
        <f aca="false">$D$49*30</f>
        <v>4615.38461538462</v>
      </c>
      <c r="Q173" s="12" t="n">
        <f aca="false">$D$49*30</f>
        <v>4615.38461538462</v>
      </c>
      <c r="R173" s="12" t="n">
        <f aca="false">$D$49*30</f>
        <v>4615.38461538462</v>
      </c>
      <c r="S173" s="12" t="n">
        <f aca="false">$D$49*30</f>
        <v>4615.38461538462</v>
      </c>
      <c r="T173" s="12" t="n">
        <f aca="false">$D$49*30</f>
        <v>4615.38461538462</v>
      </c>
      <c r="U173" s="12" t="n">
        <f aca="false">$D$49*30</f>
        <v>4615.38461538462</v>
      </c>
      <c r="V173" s="12" t="n">
        <f aca="false">$D$49*30</f>
        <v>4615.38461538462</v>
      </c>
      <c r="W173" s="12" t="n">
        <f aca="false">$D$49*30</f>
        <v>4615.38461538462</v>
      </c>
      <c r="X173" s="12" t="n">
        <f aca="false">$D$49*30</f>
        <v>4615.38461538462</v>
      </c>
      <c r="Y173" s="12" t="n">
        <f aca="false">$D$49*30</f>
        <v>4615.38461538462</v>
      </c>
      <c r="Z173" s="12" t="n">
        <f aca="false">$D$49*30</f>
        <v>4615.38461538462</v>
      </c>
      <c r="AA173" s="12" t="n">
        <f aca="false">$D$49*30</f>
        <v>4615.38461538462</v>
      </c>
      <c r="AB173" s="12" t="n">
        <f aca="false">$D$49*30</f>
        <v>4615.38461538462</v>
      </c>
      <c r="AC173" s="12" t="n">
        <f aca="false">$D$49*30</f>
        <v>4615.38461538462</v>
      </c>
      <c r="AD173" s="12" t="n">
        <f aca="false">$D$49*30</f>
        <v>4615.38461538462</v>
      </c>
      <c r="AE173" s="12" t="n">
        <f aca="false">$D$49*30</f>
        <v>4615.38461538462</v>
      </c>
      <c r="AF173" s="12" t="n">
        <f aca="false">$D$49*30</f>
        <v>4615.38461538462</v>
      </c>
      <c r="AG173" s="12" t="n">
        <f aca="false">$D$49*30</f>
        <v>4615.38461538462</v>
      </c>
      <c r="AH173" s="12" t="n">
        <f aca="false">$D$49*30</f>
        <v>4615.38461538462</v>
      </c>
      <c r="AI173" s="12" t="n">
        <f aca="false">$D$49*30</f>
        <v>4615.38461538462</v>
      </c>
      <c r="AJ173" s="12" t="n">
        <f aca="false">$D$49*30</f>
        <v>4615.38461538462</v>
      </c>
      <c r="AK173" s="12" t="n">
        <f aca="false">$D$49*30</f>
        <v>4615.38461538462</v>
      </c>
      <c r="AL173" s="12" t="n">
        <f aca="false">$D$49*30</f>
        <v>4615.38461538462</v>
      </c>
      <c r="AM173" s="12" t="n">
        <f aca="false">$D$49*30</f>
        <v>4615.38461538462</v>
      </c>
      <c r="AN173" s="12" t="n">
        <f aca="false">$D$49*30</f>
        <v>4615.38461538462</v>
      </c>
      <c r="AO173" s="12" t="n">
        <f aca="false">$D$49*30</f>
        <v>4615.38461538462</v>
      </c>
      <c r="AP173" s="12" t="n">
        <f aca="false">$D$49*30</f>
        <v>4615.38461538462</v>
      </c>
      <c r="AQ173" s="12" t="n">
        <f aca="false">$D$49*30</f>
        <v>4615.38461538462</v>
      </c>
      <c r="AR173" s="12" t="n">
        <f aca="false">$D$49*30</f>
        <v>4615.38461538462</v>
      </c>
      <c r="AS173" s="12" t="n">
        <f aca="false">$D$49*30</f>
        <v>4615.38461538462</v>
      </c>
      <c r="AT173" s="12" t="n">
        <f aca="false">$D$49*30</f>
        <v>4615.38461538462</v>
      </c>
      <c r="AU173" s="12" t="n">
        <f aca="false">$D$49*30</f>
        <v>4615.38461538462</v>
      </c>
      <c r="AV173" s="12" t="n">
        <f aca="false">$D$49*30</f>
        <v>4615.38461538462</v>
      </c>
      <c r="AW173" s="12" t="n">
        <f aca="false">$D$49*30</f>
        <v>4615.38461538462</v>
      </c>
      <c r="AX173" s="12" t="n">
        <f aca="false">$D$49*30</f>
        <v>4615.38461538462</v>
      </c>
      <c r="AY173" s="12" t="n">
        <f aca="false">$D$49*30</f>
        <v>4615.38461538462</v>
      </c>
      <c r="AZ173" s="12" t="n">
        <f aca="false">$D$49*30</f>
        <v>4615.38461538462</v>
      </c>
      <c r="BA173" s="12" t="n">
        <f aca="false">$D$49*30</f>
        <v>4615.38461538462</v>
      </c>
      <c r="BB173" s="12" t="n">
        <f aca="false">$D$49*30</f>
        <v>4615.38461538462</v>
      </c>
      <c r="BC173" s="12" t="n">
        <f aca="false">$D$49*30</f>
        <v>4615.38461538462</v>
      </c>
      <c r="BD173" s="12" t="n">
        <f aca="false">$D$49*30</f>
        <v>4615.38461538462</v>
      </c>
      <c r="BE173" s="12" t="n">
        <f aca="false">$D$49*30</f>
        <v>4615.38461538462</v>
      </c>
      <c r="BF173" s="12" t="n">
        <f aca="false">$D$49*30</f>
        <v>4615.38461538462</v>
      </c>
      <c r="BG173" s="12" t="n">
        <f aca="false">$D$49*30</f>
        <v>4615.38461538462</v>
      </c>
      <c r="BH173" s="12" t="n">
        <f aca="false">$D$49*30</f>
        <v>4615.38461538462</v>
      </c>
      <c r="BI173" s="12" t="n">
        <f aca="false">$D$49*30</f>
        <v>4615.38461538462</v>
      </c>
      <c r="BJ173" s="12" t="n">
        <f aca="false">$D$49*30</f>
        <v>4615.38461538462</v>
      </c>
      <c r="BK173" s="12" t="n">
        <f aca="false">$D$49*30</f>
        <v>4615.38461538462</v>
      </c>
    </row>
    <row r="174" customFormat="false" ht="15" hidden="false" customHeight="false" outlineLevel="0" collapsed="false">
      <c r="A174" s="0" t="s">
        <v>214</v>
      </c>
      <c r="D174" s="31" t="n">
        <f aca="false">D172/D173</f>
        <v>0.02808</v>
      </c>
      <c r="E174" s="31" t="n">
        <f aca="false">E172/E173</f>
        <v>0.050544</v>
      </c>
      <c r="F174" s="31" t="n">
        <f aca="false">F172/F173</f>
        <v>0.0693576</v>
      </c>
      <c r="G174" s="31" t="n">
        <f aca="false">G172/G173</f>
        <v>0.0859248</v>
      </c>
      <c r="H174" s="31" t="n">
        <f aca="false">H172/H173</f>
        <v>0.101259288</v>
      </c>
      <c r="I174" s="31" t="n">
        <f aca="false">I172/I173</f>
        <v>0.1161046224</v>
      </c>
      <c r="J174" s="31" t="n">
        <f aca="false">J172/J173</f>
        <v>0.13101866856</v>
      </c>
      <c r="K174" s="31" t="n">
        <f aca="false">K172/K173</f>
        <v>0.14643304416</v>
      </c>
      <c r="L174" s="31" t="n">
        <f aca="false">L172/L173</f>
        <v>0.1626951046968</v>
      </c>
      <c r="M174" s="31" t="n">
        <f aca="false">M172/M173</f>
        <v>0.18009774445104</v>
      </c>
      <c r="N174" s="31" t="n">
        <f aca="false">N172/N173</f>
        <v>0.198900709395336</v>
      </c>
      <c r="O174" s="31" t="n">
        <f aca="false">O172/O173</f>
        <v>0.219346013684304</v>
      </c>
      <c r="P174" s="31" t="n">
        <f aca="false">P172/P173</f>
        <v>0.241669278397339</v>
      </c>
      <c r="Q174" s="31" t="n">
        <f aca="false">Q172/Q173</f>
        <v>0.266108270578295</v>
      </c>
      <c r="R174" s="31" t="n">
        <f aca="false">R172/R173</f>
        <v>0.292909542674981</v>
      </c>
      <c r="S174" s="31" t="n">
        <f aca="false">S172/S173</f>
        <v>0.322333808469678</v>
      </c>
      <c r="T174" s="31" t="n">
        <f aca="false">T172/T173</f>
        <v>0.354660507385686</v>
      </c>
      <c r="U174" s="31" t="n">
        <f aca="false">U172/U173</f>
        <v>0.390191880772582</v>
      </c>
      <c r="V174" s="31" t="n">
        <f aca="false">V172/V173</f>
        <v>0.429256794703669</v>
      </c>
      <c r="W174" s="31" t="n">
        <f aca="false">W172/W173</f>
        <v>0.472214482271717</v>
      </c>
      <c r="X174" s="31" t="n">
        <f aca="false">X172/X173</f>
        <v>0.519458336167265</v>
      </c>
      <c r="Y174" s="31" t="n">
        <f aca="false">Y172/Y173</f>
        <v>0.571419853751855</v>
      </c>
      <c r="Z174" s="31" t="n">
        <f aca="false">Z172/Z173</f>
        <v>0.628572817904545</v>
      </c>
      <c r="AA174" s="31" t="n">
        <f aca="false">AA172/AA173</f>
        <v>0.691437784839253</v>
      </c>
      <c r="AB174" s="31" t="n">
        <f aca="false">AB172/AB173</f>
        <v>0.760586942924155</v>
      </c>
      <c r="AC174" s="31" t="n">
        <f aca="false">AC172/AC173</f>
        <v>0.836649402937255</v>
      </c>
      <c r="AD174" s="31" t="n">
        <f aca="false">AD172/AD173</f>
        <v>0.920316979235459</v>
      </c>
      <c r="AE174" s="31" t="n">
        <f aca="false">AE172/AE173</f>
        <v>1.01235052236214</v>
      </c>
      <c r="AF174" s="31" t="n">
        <f aca="false">AF172/AF173</f>
        <v>1.11358686624055</v>
      </c>
      <c r="AG174" s="31" t="n">
        <f aca="false">AG172/AG173</f>
        <v>1.22494645701414</v>
      </c>
      <c r="AH174" s="31" t="n">
        <f aca="false">AH172/AH173</f>
        <v>1.34744173562023</v>
      </c>
      <c r="AI174" s="31" t="n">
        <f aca="false">AI172/AI173</f>
        <v>1.48218635221553</v>
      </c>
      <c r="AJ174" s="31" t="n">
        <f aca="false">AJ172/AJ173</f>
        <v>1.63040529756037</v>
      </c>
      <c r="AK174" s="31" t="n">
        <f aca="false">AK172/AK173</f>
        <v>1.79344604440271</v>
      </c>
      <c r="AL174" s="31" t="n">
        <f aca="false">AL172/AL173</f>
        <v>1.97279080080339</v>
      </c>
      <c r="AM174" s="31" t="n">
        <f aca="false">AM172/AM173</f>
        <v>2.17006998725602</v>
      </c>
      <c r="AN174" s="31" t="n">
        <f aca="false">AN172/AN173</f>
        <v>2.38707706044223</v>
      </c>
      <c r="AO174" s="31" t="n">
        <f aca="false">AO172/AO173</f>
        <v>2.62578481860887</v>
      </c>
      <c r="AP174" s="31" t="n">
        <f aca="false">AP172/AP173</f>
        <v>2.88836333695545</v>
      </c>
      <c r="AQ174" s="31" t="n">
        <f aca="false">AQ172/AQ173</f>
        <v>3.17719969619098</v>
      </c>
      <c r="AR174" s="31" t="n">
        <f aca="false">AR172/AR173</f>
        <v>3.49491968368807</v>
      </c>
      <c r="AS174" s="31" t="n">
        <f aca="false">AS172/AS173</f>
        <v>3.84441166457148</v>
      </c>
      <c r="AT174" s="31" t="n">
        <f aca="false">AT172/AT173</f>
        <v>4.22885283978884</v>
      </c>
      <c r="AU174" s="31" t="n">
        <f aca="false">AU172/AU173</f>
        <v>4.65173812989987</v>
      </c>
      <c r="AV174" s="31" t="n">
        <f aca="false">AV172/AV173</f>
        <v>5.11691194718237</v>
      </c>
      <c r="AW174" s="31" t="n">
        <f aca="false">AW172/AW173</f>
        <v>5.62860314490536</v>
      </c>
      <c r="AX174" s="31" t="n">
        <f aca="false">AX172/AX173</f>
        <v>6.18642220143375</v>
      </c>
      <c r="AY174" s="31" t="n">
        <f aca="false">AY172/AY173</f>
        <v>6.57689554100363</v>
      </c>
      <c r="AZ174" s="31" t="n">
        <f aca="false">AZ172/AZ173</f>
        <v>6.85022687870254</v>
      </c>
      <c r="BA174" s="31" t="n">
        <f aca="false">BA172/BA173</f>
        <v>7.04155881509178</v>
      </c>
      <c r="BB174" s="31" t="n">
        <f aca="false">BB172/BB173</f>
        <v>7.17549117056424</v>
      </c>
      <c r="BC174" s="31" t="n">
        <f aca="false">BC172/BC173</f>
        <v>7.26924381939497</v>
      </c>
      <c r="BD174" s="31" t="n">
        <f aca="false">BD172/BD173</f>
        <v>7.33487067357648</v>
      </c>
      <c r="BE174" s="31" t="n">
        <f aca="false">BE172/BE173</f>
        <v>7.38080947150353</v>
      </c>
      <c r="BF174" s="31" t="n">
        <f aca="false">BF172/BF173</f>
        <v>7.41296663005247</v>
      </c>
      <c r="BG174" s="31" t="n">
        <f aca="false">BG172/BG173</f>
        <v>7.43547664103673</v>
      </c>
      <c r="BH174" s="31" t="n">
        <f aca="false">BH172/BH173</f>
        <v>7.45123364872571</v>
      </c>
      <c r="BI174" s="31" t="n">
        <f aca="false">BI172/BI173</f>
        <v>7.462263554108</v>
      </c>
      <c r="BJ174" s="31" t="n">
        <f aca="false">BJ172/BJ173</f>
        <v>7.4699844878756</v>
      </c>
      <c r="BK174" s="31" t="n">
        <f aca="false">BK172/BK173</f>
        <v>7.47538914151292</v>
      </c>
    </row>
    <row r="175" customFormat="false" ht="15" hidden="false" customHeight="false" outlineLevel="0" collapsed="false">
      <c r="A175" s="0" t="s">
        <v>215</v>
      </c>
      <c r="D175" s="12" t="n">
        <f aca="false">MAX(0,D172-D173)</f>
        <v>0</v>
      </c>
      <c r="E175" s="12" t="n">
        <f aca="false">MAX(0,E172-E173)</f>
        <v>0</v>
      </c>
      <c r="F175" s="12" t="n">
        <f aca="false">MAX(0,F172-F173)</f>
        <v>0</v>
      </c>
      <c r="G175" s="12" t="n">
        <f aca="false">MAX(0,G172-G173)</f>
        <v>0</v>
      </c>
      <c r="H175" s="12" t="n">
        <f aca="false">MAX(0,H172-H173)</f>
        <v>0</v>
      </c>
      <c r="I175" s="12" t="n">
        <f aca="false">MAX(0,I172-I173)</f>
        <v>0</v>
      </c>
      <c r="J175" s="12" t="n">
        <f aca="false">MAX(0,J172-J173)</f>
        <v>0</v>
      </c>
      <c r="K175" s="12" t="n">
        <f aca="false">MAX(0,K172-K173)</f>
        <v>0</v>
      </c>
      <c r="L175" s="12" t="n">
        <f aca="false">MAX(0,L172-L173)</f>
        <v>0</v>
      </c>
      <c r="M175" s="12" t="n">
        <f aca="false">MAX(0,M172-M173)</f>
        <v>0</v>
      </c>
      <c r="N175" s="12" t="n">
        <f aca="false">MAX(0,N172-N173)</f>
        <v>0</v>
      </c>
      <c r="O175" s="12" t="n">
        <f aca="false">MAX(0,O172-O173)</f>
        <v>0</v>
      </c>
      <c r="P175" s="12" t="n">
        <f aca="false">MAX(0,P172-P173)</f>
        <v>0</v>
      </c>
      <c r="Q175" s="12" t="n">
        <f aca="false">MAX(0,Q172-Q173)</f>
        <v>0</v>
      </c>
      <c r="R175" s="12" t="n">
        <f aca="false">MAX(0,R172-R173)</f>
        <v>0</v>
      </c>
      <c r="S175" s="12" t="n">
        <f aca="false">MAX(0,S172-S173)</f>
        <v>0</v>
      </c>
      <c r="T175" s="12" t="n">
        <f aca="false">MAX(0,T172-T173)</f>
        <v>0</v>
      </c>
      <c r="U175" s="12" t="n">
        <f aca="false">MAX(0,U172-U173)</f>
        <v>0</v>
      </c>
      <c r="V175" s="12" t="n">
        <f aca="false">MAX(0,V172-V173)</f>
        <v>0</v>
      </c>
      <c r="W175" s="12" t="n">
        <f aca="false">MAX(0,W172-W173)</f>
        <v>0</v>
      </c>
      <c r="X175" s="12" t="n">
        <f aca="false">MAX(0,X172-X173)</f>
        <v>0</v>
      </c>
      <c r="Y175" s="12" t="n">
        <f aca="false">MAX(0,Y172-Y173)</f>
        <v>0</v>
      </c>
      <c r="Z175" s="12" t="n">
        <f aca="false">MAX(0,Z172-Z173)</f>
        <v>0</v>
      </c>
      <c r="AA175" s="12" t="n">
        <f aca="false">MAX(0,AA172-AA173)</f>
        <v>0</v>
      </c>
      <c r="AB175" s="12" t="n">
        <f aca="false">MAX(0,AB172-AB173)</f>
        <v>0</v>
      </c>
      <c r="AC175" s="12" t="n">
        <f aca="false">MAX(0,AC172-AC173)</f>
        <v>0</v>
      </c>
      <c r="AD175" s="12" t="n">
        <f aca="false">MAX(0,AD172-AD173)</f>
        <v>0</v>
      </c>
      <c r="AE175" s="12" t="n">
        <f aca="false">MAX(0,AE172-AE173)</f>
        <v>57.0024109021852</v>
      </c>
      <c r="AF175" s="12" t="n">
        <f aca="false">MAX(0,AF172-AF173)</f>
        <v>524.247074956379</v>
      </c>
      <c r="AG175" s="12" t="n">
        <f aca="false">MAX(0,AG172-AG173)</f>
        <v>1038.21441698834</v>
      </c>
      <c r="AH175" s="12" t="n">
        <f aca="false">MAX(0,AH172-AH173)</f>
        <v>1603.57724132414</v>
      </c>
      <c r="AI175" s="12" t="n">
        <f aca="false">MAX(0,AI172-AI173)</f>
        <v>2225.47547176396</v>
      </c>
      <c r="AJ175" s="12" t="n">
        <f aca="false">MAX(0,AJ172-AJ173)</f>
        <v>2909.56291181709</v>
      </c>
      <c r="AK175" s="12" t="n">
        <f aca="false">MAX(0,AK172-AK173)</f>
        <v>3662.05866647404</v>
      </c>
      <c r="AL175" s="12" t="n">
        <f aca="false">MAX(0,AL172-AL173)</f>
        <v>4489.80369601566</v>
      </c>
      <c r="AM175" s="12" t="n">
        <f aca="false">MAX(0,AM172-AM173)</f>
        <v>5400.32301810472</v>
      </c>
      <c r="AN175" s="12" t="n">
        <f aca="false">MAX(0,AN172-AN173)</f>
        <v>6401.89412511797</v>
      </c>
      <c r="AO175" s="12" t="n">
        <f aca="false">MAX(0,AO172-AO173)</f>
        <v>7503.62223973325</v>
      </c>
      <c r="AP175" s="12" t="n">
        <f aca="false">MAX(0,AP172-AP173)</f>
        <v>8715.52309364055</v>
      </c>
      <c r="AQ175" s="12" t="n">
        <f aca="false">MAX(0,AQ172-AQ173)</f>
        <v>10048.6139824199</v>
      </c>
      <c r="AR175" s="12" t="n">
        <f aca="false">MAX(0,AR172-AR173)</f>
        <v>11515.0139247142</v>
      </c>
      <c r="AS175" s="12" t="n">
        <f aca="false">MAX(0,AS172-AS173)</f>
        <v>13128.0538364837</v>
      </c>
      <c r="AT175" s="12" t="n">
        <f aca="false">MAX(0,AT172-AT173)</f>
        <v>14902.3977221023</v>
      </c>
      <c r="AU175" s="12" t="n">
        <f aca="false">MAX(0,AU172-AU173)</f>
        <v>16854.1759841533</v>
      </c>
      <c r="AV175" s="12" t="n">
        <f aca="false">MAX(0,AV172-AV173)</f>
        <v>19001.1320639186</v>
      </c>
      <c r="AW175" s="12" t="n">
        <f aca="false">MAX(0,AW172-AW173)</f>
        <v>21362.783745717</v>
      </c>
      <c r="AX175" s="12" t="n">
        <f aca="false">MAX(0,AX172-AX173)</f>
        <v>23937.3332373865</v>
      </c>
      <c r="AY175" s="12" t="n">
        <f aca="false">MAX(0,AY172-AY173)</f>
        <v>25739.5178815552</v>
      </c>
      <c r="AZ175" s="12" t="n">
        <f aca="false">MAX(0,AZ172-AZ173)</f>
        <v>27001.0471324733</v>
      </c>
      <c r="BA175" s="12" t="n">
        <f aca="false">MAX(0,BA172-BA173)</f>
        <v>27884.1176081159</v>
      </c>
      <c r="BB175" s="12" t="n">
        <f aca="false">MAX(0,BB172-BB173)</f>
        <v>28502.2669410657</v>
      </c>
      <c r="BC175" s="12" t="n">
        <f aca="false">MAX(0,BC172-BC173)</f>
        <v>28934.9714741306</v>
      </c>
      <c r="BD175" s="12" t="n">
        <f aca="false">MAX(0,BD172-BD173)</f>
        <v>29237.8646472761</v>
      </c>
      <c r="BE175" s="12" t="n">
        <f aca="false">MAX(0,BE172-BE173)</f>
        <v>29449.8898684778</v>
      </c>
      <c r="BF175" s="12" t="n">
        <f aca="false">MAX(0,BF172-BF173)</f>
        <v>29598.3075233191</v>
      </c>
      <c r="BG175" s="12" t="n">
        <f aca="false">MAX(0,BG172-BG173)</f>
        <v>29702.199881708</v>
      </c>
      <c r="BH175" s="12" t="n">
        <f aca="false">MAX(0,BH172-BH173)</f>
        <v>29774.9245325802</v>
      </c>
      <c r="BI175" s="12" t="n">
        <f aca="false">MAX(0,BI172-BI173)</f>
        <v>29825.8317881908</v>
      </c>
      <c r="BJ175" s="12" t="n">
        <f aca="false">MAX(0,BJ172-BJ173)</f>
        <v>29861.4668671181</v>
      </c>
      <c r="BK175" s="12" t="n">
        <f aca="false">MAX(0,BK172-BK173)</f>
        <v>29886.4114223673</v>
      </c>
    </row>
    <row r="176" customFormat="false" ht="15" hidden="false" customHeight="false" outlineLevel="0" collapsed="false">
      <c r="A176" s="0" t="s">
        <v>216</v>
      </c>
      <c r="D176" s="7" t="n">
        <f aca="false">D175*$D$50*$D$51</f>
        <v>0</v>
      </c>
      <c r="E176" s="7" t="n">
        <f aca="false">E175*$D$50*$D$51</f>
        <v>0</v>
      </c>
      <c r="F176" s="7" t="n">
        <f aca="false">F175*$D$50*$D$51</f>
        <v>0</v>
      </c>
      <c r="G176" s="7" t="n">
        <f aca="false">G175*$D$50*$D$51</f>
        <v>0</v>
      </c>
      <c r="H176" s="7" t="n">
        <f aca="false">H175*$D$50*$D$51</f>
        <v>0</v>
      </c>
      <c r="I176" s="7" t="n">
        <f aca="false">I175*$D$50*$D$51</f>
        <v>0</v>
      </c>
      <c r="J176" s="7" t="n">
        <f aca="false">J175*$D$50*$D$51</f>
        <v>0</v>
      </c>
      <c r="K176" s="7" t="n">
        <f aca="false">K175*$D$50*$D$51</f>
        <v>0</v>
      </c>
      <c r="L176" s="7" t="n">
        <f aca="false">L175*$D$50*$D$51</f>
        <v>0</v>
      </c>
      <c r="M176" s="7" t="n">
        <f aca="false">M175*$D$50*$D$51</f>
        <v>0</v>
      </c>
      <c r="N176" s="7" t="n">
        <f aca="false">N175*$D$50*$D$51</f>
        <v>0</v>
      </c>
      <c r="O176" s="7" t="n">
        <f aca="false">O175*$D$50*$D$51</f>
        <v>0</v>
      </c>
      <c r="P176" s="7" t="n">
        <f aca="false">P175*$D$50*$D$51</f>
        <v>0</v>
      </c>
      <c r="Q176" s="7" t="n">
        <f aca="false">Q175*$D$50*$D$51</f>
        <v>0</v>
      </c>
      <c r="R176" s="7" t="n">
        <f aca="false">R175*$D$50*$D$51</f>
        <v>0</v>
      </c>
      <c r="S176" s="7" t="n">
        <f aca="false">S175*$D$50*$D$51</f>
        <v>0</v>
      </c>
      <c r="T176" s="7" t="n">
        <f aca="false">T175*$D$50*$D$51</f>
        <v>0</v>
      </c>
      <c r="U176" s="7" t="n">
        <f aca="false">U175*$D$50*$D$51</f>
        <v>0</v>
      </c>
      <c r="V176" s="7" t="n">
        <f aca="false">V175*$D$50*$D$51</f>
        <v>0</v>
      </c>
      <c r="W176" s="7" t="n">
        <f aca="false">W175*$D$50*$D$51</f>
        <v>0</v>
      </c>
      <c r="X176" s="7" t="n">
        <f aca="false">X175*$D$50*$D$51</f>
        <v>0</v>
      </c>
      <c r="Y176" s="7" t="n">
        <f aca="false">Y175*$D$50*$D$51</f>
        <v>0</v>
      </c>
      <c r="Z176" s="7" t="n">
        <f aca="false">Z175*$D$50*$D$51</f>
        <v>0</v>
      </c>
      <c r="AA176" s="7" t="n">
        <f aca="false">AA175*$D$50*$D$51</f>
        <v>0</v>
      </c>
      <c r="AB176" s="7" t="n">
        <f aca="false">AB175*$D$50*$D$51</f>
        <v>0</v>
      </c>
      <c r="AC176" s="7" t="n">
        <f aca="false">AC175*$D$50*$D$51</f>
        <v>0</v>
      </c>
      <c r="AD176" s="7" t="n">
        <f aca="false">AD175*$D$50*$D$51</f>
        <v>0</v>
      </c>
      <c r="AE176" s="7" t="n">
        <f aca="false">AE175*$D$50*$D$51</f>
        <v>0</v>
      </c>
      <c r="AF176" s="7" t="n">
        <f aca="false">AF175*$D$50*$D$51</f>
        <v>0</v>
      </c>
      <c r="AG176" s="7" t="n">
        <f aca="false">AG175*$D$50*$D$51</f>
        <v>0</v>
      </c>
      <c r="AH176" s="7" t="n">
        <f aca="false">AH175*$D$50*$D$51</f>
        <v>0</v>
      </c>
      <c r="AI176" s="7" t="n">
        <f aca="false">AI175*$D$50*$D$51</f>
        <v>0</v>
      </c>
      <c r="AJ176" s="7" t="n">
        <f aca="false">AJ175*$D$50*$D$51</f>
        <v>0</v>
      </c>
      <c r="AK176" s="7" t="n">
        <f aca="false">AK175*$D$50*$D$51</f>
        <v>0</v>
      </c>
      <c r="AL176" s="7" t="n">
        <f aca="false">AL175*$D$50*$D$51</f>
        <v>0</v>
      </c>
      <c r="AM176" s="7" t="n">
        <f aca="false">AM175*$D$50*$D$51</f>
        <v>0</v>
      </c>
      <c r="AN176" s="7" t="n">
        <f aca="false">AN175*$D$50*$D$51</f>
        <v>0</v>
      </c>
      <c r="AO176" s="7" t="n">
        <f aca="false">AO175*$D$50*$D$51</f>
        <v>0</v>
      </c>
      <c r="AP176" s="7" t="n">
        <f aca="false">AP175*$D$50*$D$51</f>
        <v>0</v>
      </c>
      <c r="AQ176" s="7" t="n">
        <f aca="false">AQ175*$D$50*$D$51</f>
        <v>0</v>
      </c>
      <c r="AR176" s="7" t="n">
        <f aca="false">AR175*$D$50*$D$51</f>
        <v>0</v>
      </c>
      <c r="AS176" s="7" t="n">
        <f aca="false">AS175*$D$50*$D$51</f>
        <v>0</v>
      </c>
      <c r="AT176" s="7" t="n">
        <f aca="false">AT175*$D$50*$D$51</f>
        <v>0</v>
      </c>
      <c r="AU176" s="7" t="n">
        <f aca="false">AU175*$D$50*$D$51</f>
        <v>0</v>
      </c>
      <c r="AV176" s="7" t="n">
        <f aca="false">AV175*$D$50*$D$51</f>
        <v>0</v>
      </c>
      <c r="AW176" s="7" t="n">
        <f aca="false">AW175*$D$50*$D$51</f>
        <v>0</v>
      </c>
      <c r="AX176" s="7" t="n">
        <f aca="false">AX175*$D$50*$D$51</f>
        <v>0</v>
      </c>
      <c r="AY176" s="7" t="n">
        <f aca="false">AY175*$D$50*$D$51</f>
        <v>0</v>
      </c>
      <c r="AZ176" s="7" t="n">
        <f aca="false">AZ175*$D$50*$D$51</f>
        <v>0</v>
      </c>
      <c r="BA176" s="7" t="n">
        <f aca="false">BA175*$D$50*$D$51</f>
        <v>0</v>
      </c>
      <c r="BB176" s="7" t="n">
        <f aca="false">BB175*$D$50*$D$51</f>
        <v>0</v>
      </c>
      <c r="BC176" s="7" t="n">
        <f aca="false">BC175*$D$50*$D$51</f>
        <v>0</v>
      </c>
      <c r="BD176" s="7" t="n">
        <f aca="false">BD175*$D$50*$D$51</f>
        <v>0</v>
      </c>
      <c r="BE176" s="7" t="n">
        <f aca="false">BE175*$D$50*$D$51</f>
        <v>0</v>
      </c>
      <c r="BF176" s="7" t="n">
        <f aca="false">BF175*$D$50*$D$51</f>
        <v>0</v>
      </c>
      <c r="BG176" s="7" t="n">
        <f aca="false">BG175*$D$50*$D$51</f>
        <v>0</v>
      </c>
      <c r="BH176" s="7" t="n">
        <f aca="false">BH175*$D$50*$D$51</f>
        <v>0</v>
      </c>
      <c r="BI176" s="7" t="n">
        <f aca="false">BI175*$D$50*$D$51</f>
        <v>0</v>
      </c>
      <c r="BJ176" s="7" t="n">
        <f aca="false">BJ175*$D$50*$D$51</f>
        <v>0</v>
      </c>
      <c r="BK176" s="7" t="n">
        <f aca="false">BK175*$D$50*$D$51</f>
        <v>0</v>
      </c>
    </row>
    <row r="177" customFormat="false" ht="15" hidden="false" customHeight="false" outlineLevel="0" collapsed="false">
      <c r="A177" s="0" t="s">
        <v>217</v>
      </c>
      <c r="D177" s="7" t="n">
        <f aca="false">$D$53+$D$54*(D153+D171)</f>
        <v>60.50625</v>
      </c>
      <c r="E177" s="7" t="n">
        <f aca="false">$D$53+$D$54*(E153+E171)</f>
        <v>60.91580625</v>
      </c>
      <c r="F177" s="7" t="n">
        <f aca="false">$D$53+$D$54*(F153+F171)</f>
        <v>61.262859204375</v>
      </c>
      <c r="G177" s="7" t="n">
        <f aca="false">$D$53+$D$54*(G153+G171)</f>
        <v>61.5718865282719</v>
      </c>
      <c r="H177" s="7" t="n">
        <f aca="false">$D$53+$D$54*(H153+H171)</f>
        <v>61.8606192495757</v>
      </c>
      <c r="I177" s="7" t="n">
        <f aca="false">$D$53+$D$54*(I153+I171)</f>
        <v>62.142123474422</v>
      </c>
      <c r="J177" s="7" t="n">
        <f aca="false">$D$53+$D$54*(J153+J171)</f>
        <v>62.4262635228758</v>
      </c>
      <c r="K177" s="7" t="n">
        <f aca="false">$D$53+$D$54*(K153+K171)</f>
        <v>62.7207326383076</v>
      </c>
      <c r="L177" s="7" t="n">
        <f aca="false">$D$53+$D$54*(L153+L171)</f>
        <v>63.0317816371045</v>
      </c>
      <c r="M177" s="7" t="n">
        <f aca="false">$D$53+$D$54*(M153+M171)</f>
        <v>63.3647368203419</v>
      </c>
      <c r="N177" s="7" t="n">
        <f aca="false">$D$53+$D$54*(N153+N171)</f>
        <v>63.7243711439321</v>
      </c>
      <c r="O177" s="7" t="n">
        <f aca="false">$D$53+$D$54*(O153+O171)</f>
        <v>64.1151735232405</v>
      </c>
      <c r="P177" s="7" t="n">
        <f aca="false">$D$53+$D$54*(P153+P171)</f>
        <v>64.5415477715513</v>
      </c>
      <c r="Q177" s="7" t="n">
        <f aca="false">$D$53+$D$54*(Q153+Q171)</f>
        <v>65.007963316689</v>
      </c>
      <c r="R177" s="7" t="n">
        <f aca="false">$D$53+$D$54*(R153+R171)</f>
        <v>65.5190733009518</v>
      </c>
      <c r="S177" s="7" t="n">
        <f aca="false">$D$53+$D$54*(S153+S171)</f>
        <v>66.0798111024604</v>
      </c>
      <c r="T177" s="7" t="n">
        <f aca="false">$D$53+$D$54*(T153+T171)</f>
        <v>66.695473130489</v>
      </c>
      <c r="U177" s="7" t="n">
        <f aca="false">$D$53+$D$54*(U153+U171)</f>
        <v>67.3717935299993</v>
      </c>
      <c r="V177" s="7" t="n">
        <f aca="false">$D$53+$D$54*(V153+V171)</f>
        <v>68.1150148922599</v>
      </c>
      <c r="W177" s="7" t="n">
        <f aca="false">$D$53+$D$54*(W153+W171)</f>
        <v>68.9319580067725</v>
      </c>
      <c r="X177" s="7" t="n">
        <f aca="false">$D$53+$D$54*(X153+X171)</f>
        <v>69.8300929632684</v>
      </c>
      <c r="Y177" s="7" t="n">
        <f aca="false">$D$53+$D$54*(Y153+Y171)</f>
        <v>70.8176134223918</v>
      </c>
      <c r="Z177" s="7" t="n">
        <f aca="false">$D$53+$D$54*(Z153+Z171)</f>
        <v>71.9035155508015</v>
      </c>
      <c r="AA177" s="7" t="n">
        <f aca="false">$D$53+$D$54*(AA153+AA171)</f>
        <v>73.0976829126429</v>
      </c>
      <c r="AB177" s="7" t="n">
        <f aca="false">$D$53+$D$54*(AB153+AB171)</f>
        <v>74.4109784911642</v>
      </c>
      <c r="AC177" s="7" t="n">
        <f aca="false">$D$53+$D$54*(AC153+AC171)</f>
        <v>75.8553449584437</v>
      </c>
      <c r="AD177" s="7" t="n">
        <f aca="false">$D$53+$D$54*(AD153+AD171)</f>
        <v>77.4439143017366</v>
      </c>
      <c r="AE177" s="7" t="n">
        <f aca="false">$D$53+$D$54*(AE153+AE171)</f>
        <v>79.1911279409081</v>
      </c>
      <c r="AF177" s="7" t="n">
        <f aca="false">$D$53+$D$54*(AF153+AF171)</f>
        <v>81.1128685254175</v>
      </c>
      <c r="AG177" s="7" t="n">
        <f aca="false">$D$53+$D$54*(AG153+AG171)</f>
        <v>83.2266046765355</v>
      </c>
      <c r="AH177" s="7" t="n">
        <f aca="false">$D$53+$D$54*(AH153+AH171)</f>
        <v>85.5515500378908</v>
      </c>
      <c r="AI177" s="7" t="n">
        <f aca="false">$D$53+$D$54*(AI153+AI171)</f>
        <v>88.1088381133285</v>
      </c>
      <c r="AJ177" s="7" t="n">
        <f aca="false">$D$53+$D$54*(AJ153+AJ171)</f>
        <v>90.9217145046497</v>
      </c>
      <c r="AK177" s="7" t="n">
        <f aca="false">$D$53+$D$54*(AK153+AK171)</f>
        <v>94.0157483130357</v>
      </c>
      <c r="AL177" s="7" t="n">
        <f aca="false">$D$53+$D$54*(AL153+AL171)</f>
        <v>97.4190646373049</v>
      </c>
      <c r="AM177" s="7" t="n">
        <f aca="false">$D$53+$D$54*(AM153+AM171)</f>
        <v>101.162600290538</v>
      </c>
      <c r="AN177" s="7" t="n">
        <f aca="false">$D$53+$D$54*(AN153+AN171)</f>
        <v>105.280385065302</v>
      </c>
      <c r="AO177" s="7" t="n">
        <f aca="false">$D$53+$D$54*(AO153+AO171)</f>
        <v>109.809851108286</v>
      </c>
      <c r="AP177" s="7" t="n">
        <f aca="false">$D$53+$D$54*(AP153+AP171)</f>
        <v>114.792173219552</v>
      </c>
      <c r="AQ177" s="7" t="n">
        <f aca="false">$D$53+$D$54*(AQ153+AQ171)</f>
        <v>120.272643171901</v>
      </c>
      <c r="AR177" s="7" t="n">
        <f aca="false">$D$53+$D$54*(AR153+AR171)</f>
        <v>126.30108145458</v>
      </c>
      <c r="AS177" s="7" t="n">
        <f aca="false">$D$53+$D$54*(AS153+AS171)</f>
        <v>132.932290185345</v>
      </c>
      <c r="AT177" s="7" t="n">
        <f aca="false">$D$53+$D$54*(AT153+AT171)</f>
        <v>140.226551308915</v>
      </c>
      <c r="AU177" s="7" t="n">
        <f aca="false">$D$53+$D$54*(AU153+AU171)</f>
        <v>148.250174611318</v>
      </c>
      <c r="AV177" s="7" t="n">
        <f aca="false">$D$53+$D$54*(AV153+AV171)</f>
        <v>157.07610053238</v>
      </c>
      <c r="AW177" s="7" t="n">
        <f aca="false">$D$53+$D$54*(AW153+AW171)</f>
        <v>166.784563256669</v>
      </c>
      <c r="AX177" s="7" t="n">
        <f aca="false">$D$53+$D$54*(AX153+AX171)</f>
        <v>177.372932009011</v>
      </c>
      <c r="AY177" s="7" t="n">
        <f aca="false">$D$53+$D$54*(AY153+AY171)</f>
        <v>184.996537323747</v>
      </c>
      <c r="AZ177" s="7" t="n">
        <f aca="false">$D$53+$D$54*(AZ153+AZ171)</f>
        <v>190.529581767836</v>
      </c>
      <c r="BA177" s="7" t="n">
        <f aca="false">$D$53+$D$54*(BA153+BA171)</f>
        <v>194.585166897086</v>
      </c>
      <c r="BB177" s="7" t="n">
        <f aca="false">$D$53+$D$54*(BB153+BB171)</f>
        <v>197.593530953487</v>
      </c>
      <c r="BC177" s="7" t="n">
        <f aca="false">$D$53+$D$54*(BC153+BC171)</f>
        <v>199.856822920466</v>
      </c>
      <c r="BD177" s="7" t="n">
        <f aca="false">$D$53+$D$54*(BD153+BD171)</f>
        <v>201.587451376956</v>
      </c>
      <c r="BE177" s="7" t="n">
        <f aca="false">$D$53+$D$54*(BE153+BE171)</f>
        <v>202.934935115321</v>
      </c>
      <c r="BF177" s="7" t="n">
        <f aca="false">$D$53+$D$54*(BF153+BF171)</f>
        <v>204.004704450143</v>
      </c>
      <c r="BG177" s="7" t="n">
        <f aca="false">$D$53+$D$54*(BG153+BG171)</f>
        <v>204.871267513795</v>
      </c>
      <c r="BH177" s="7" t="n">
        <f aca="false">$D$53+$D$54*(BH153+BH171)</f>
        <v>205.587431588754</v>
      </c>
      <c r="BI177" s="7" t="n">
        <f aca="false">$D$53+$D$54*(BI153+BI171)</f>
        <v>206.190762550784</v>
      </c>
      <c r="BJ177" s="7" t="n">
        <f aca="false">$D$53+$D$54*(BJ153+BJ171)</f>
        <v>206.708110610554</v>
      </c>
      <c r="BK177" s="7" t="n">
        <f aca="false">$D$53+$D$54*(BK153+BK171)</f>
        <v>207.158782117553</v>
      </c>
    </row>
    <row r="178" customFormat="false" ht="15" hidden="false" customHeight="false" outlineLevel="0" collapsed="false">
      <c r="A178" s="0" t="s">
        <v>218</v>
      </c>
      <c r="D178" s="7" t="n">
        <f aca="false">D153*$D$55/60*$D$56</f>
        <v>1.35</v>
      </c>
      <c r="E178" s="7" t="n">
        <f aca="false">E153*$D$55/60*$D$56</f>
        <v>2.73375</v>
      </c>
      <c r="F178" s="7" t="n">
        <f aca="false">F153*$D$55/60*$D$56</f>
        <v>4.162613625</v>
      </c>
      <c r="G178" s="7" t="n">
        <f aca="false">G153*$D$55/60*$D$56</f>
        <v>5.648435218125</v>
      </c>
      <c r="H178" s="7" t="n">
        <f aca="false">H153*$D$55/60*$D$56</f>
        <v>7.20364330504688</v>
      </c>
      <c r="I178" s="7" t="n">
        <f aca="false">I153*$D$55/60*$D$56</f>
        <v>8.84135962813289</v>
      </c>
      <c r="J178" s="7" t="n">
        <f aca="false">J153*$D$55/60*$D$56</f>
        <v>10.5755147250544</v>
      </c>
      <c r="K178" s="7" t="n">
        <f aca="false">K153*$D$55/60*$D$56</f>
        <v>12.4209710871762</v>
      </c>
      <c r="L178" s="7" t="n">
        <f aca="false">L153*$D$55/60*$D$56</f>
        <v>14.3936550029693</v>
      </c>
      <c r="M178" s="7" t="n">
        <f aca="false">M153*$D$55/60*$D$56</f>
        <v>16.5106982715925</v>
      </c>
      <c r="N178" s="7" t="n">
        <f aca="false">N153*$D$55/60*$D$56</f>
        <v>18.7905910623956</v>
      </c>
      <c r="O178" s="7" t="n">
        <f aca="false">O153*$D$55/60*$D$56</f>
        <v>21.2533472982474</v>
      </c>
      <c r="P178" s="7" t="n">
        <f aca="false">P153*$D$55/60*$D$56</f>
        <v>23.9206840552054</v>
      </c>
      <c r="Q178" s="7" t="n">
        <f aca="false">Q153*$D$55/60*$D$56</f>
        <v>26.8162165991839</v>
      </c>
      <c r="R178" s="7" t="n">
        <f aca="false">R153*$D$55/60*$D$56</f>
        <v>29.965670823089</v>
      </c>
      <c r="S178" s="7" t="n">
        <f aca="false">S153*$D$55/60*$D$56</f>
        <v>33.3971150067029</v>
      </c>
      <c r="T178" s="7" t="n">
        <f aca="false">T153*$D$55/60*$D$56</f>
        <v>37.141212997831</v>
      </c>
      <c r="U178" s="7" t="n">
        <f aca="false">U153*$D$55/60*$D$56</f>
        <v>41.2315011085101</v>
      </c>
      <c r="V178" s="7" t="n">
        <f aca="false">V153*$D$55/60*$D$56</f>
        <v>45.7046912361662</v>
      </c>
      <c r="W178" s="7" t="n">
        <f aca="false">W153*$D$55/60*$D$56</f>
        <v>50.6010029584906</v>
      </c>
      <c r="X178" s="7" t="n">
        <f aca="false">X153*$D$55/60*$D$56</f>
        <v>55.9645276146381</v>
      </c>
      <c r="Y178" s="7" t="n">
        <f aca="false">Y153*$D$55/60*$D$56</f>
        <v>61.8436276765455</v>
      </c>
      <c r="Z178" s="7" t="n">
        <f aca="false">Z153*$D$55/60*$D$56</f>
        <v>68.2913750353707</v>
      </c>
      <c r="AA178" s="7" t="n">
        <f aca="false">AA153*$D$55/60*$D$56</f>
        <v>75.3660321821812</v>
      </c>
      <c r="AB178" s="7" t="n">
        <f aca="false">AB153*$D$55/60*$D$56</f>
        <v>83.1315806523068</v>
      </c>
      <c r="AC178" s="7" t="n">
        <f aca="false">AC153*$D$55/60*$D$56</f>
        <v>91.6583015327481</v>
      </c>
      <c r="AD178" s="7" t="n">
        <f aca="false">AD153*$D$55/60*$D$56</f>
        <v>101.023413305627</v>
      </c>
      <c r="AE178" s="7" t="n">
        <f aca="false">AE153*$D$55/60*$D$56</f>
        <v>111.311772822174</v>
      </c>
      <c r="AF178" s="7" t="n">
        <f aca="false">AF153*$D$55/60*$D$56</f>
        <v>122.61664577592</v>
      </c>
      <c r="AG178" s="7" t="n">
        <f aca="false">AG153*$D$55/60*$D$56</f>
        <v>135.040553675793</v>
      </c>
      <c r="AH178" s="7" t="n">
        <f aca="false">AH153*$D$55/60*$D$56</f>
        <v>148.696205015534</v>
      </c>
      <c r="AI178" s="7" t="n">
        <f aca="false">AI153*$D$55/60*$D$56</f>
        <v>163.70751910142</v>
      </c>
      <c r="AJ178" s="7" t="n">
        <f aca="false">AJ153*$D$55/60*$D$56</f>
        <v>180.210751842887</v>
      </c>
      <c r="AK178" s="7" t="n">
        <f aca="false">AK153*$D$55/60*$D$56</f>
        <v>198.355733737715</v>
      </c>
      <c r="AL178" s="7" t="n">
        <f aca="false">AL153*$D$55/60*$D$56</f>
        <v>218.307231303588</v>
      </c>
      <c r="AM178" s="7" t="n">
        <f aca="false">AM153*$D$55/60*$D$56</f>
        <v>240.246444330224</v>
      </c>
      <c r="AN178" s="7" t="n">
        <f aca="false">AN153*$D$55/60*$D$56</f>
        <v>264.372652561173</v>
      </c>
      <c r="AO178" s="7" t="n">
        <f aca="false">AO153*$D$55/60*$D$56</f>
        <v>290.905026772949</v>
      </c>
      <c r="AP178" s="7" t="n">
        <f aca="false">AP153*$D$55/60*$D$56</f>
        <v>320.084620713828</v>
      </c>
      <c r="AQ178" s="7" t="n">
        <f aca="false">AQ153*$D$55/60*$D$56</f>
        <v>352.176562008961</v>
      </c>
      <c r="AR178" s="7" t="n">
        <f aca="false">AR153*$D$55/60*$D$56</f>
        <v>387.472461947306</v>
      </c>
      <c r="AS178" s="7" t="n">
        <f aca="false">AS153*$D$55/60*$D$56</f>
        <v>426.293066055887</v>
      </c>
      <c r="AT178" s="7" t="n">
        <f aca="false">AT153*$D$55/60*$D$56</f>
        <v>468.99116955591</v>
      </c>
      <c r="AU178" s="7" t="n">
        <f aca="false">AU153*$D$55/60*$D$56</f>
        <v>515.954824203414</v>
      </c>
      <c r="AV178" s="7" t="n">
        <f aca="false">AV153*$D$55/60*$D$56</f>
        <v>567.610865666161</v>
      </c>
      <c r="AW178" s="7" t="n">
        <f aca="false">AW153*$D$55/60*$D$56</f>
        <v>624.428793502517</v>
      </c>
      <c r="AX178" s="7" t="n">
        <f aca="false">AX153*$D$55/60*$D$56</f>
        <v>686.682670741253</v>
      </c>
      <c r="AY178" s="7" t="n">
        <f aca="false">AY153*$D$55/60*$D$56</f>
        <v>744.376864014855</v>
      </c>
      <c r="AZ178" s="7" t="n">
        <f aca="false">AZ153*$D$55/60*$D$56</f>
        <v>797.864180891253</v>
      </c>
      <c r="BA178" s="7" t="n">
        <f aca="false">BA153*$D$55/60*$D$56</f>
        <v>847.468903930638</v>
      </c>
      <c r="BB178" s="7" t="n">
        <f aca="false">BB153*$D$55/60*$D$56</f>
        <v>893.489174453222</v>
      </c>
      <c r="BC178" s="7" t="n">
        <f aca="false">BC153*$D$55/60*$D$56</f>
        <v>936.199172318897</v>
      </c>
      <c r="BD178" s="7" t="n">
        <f aca="false">BD153*$D$55/60*$D$56</f>
        <v>975.851109465256</v>
      </c>
      <c r="BE178" s="7" t="n">
        <f aca="false">BE153*$D$55/60*$D$56</f>
        <v>1012.6770533891</v>
      </c>
      <c r="BF178" s="7" t="n">
        <f aca="false">BF153*$D$55/60*$D$56</f>
        <v>1046.89059533363</v>
      </c>
      <c r="BG178" s="7" t="n">
        <f aca="false">BG153*$D$55/60*$D$56</f>
        <v>1078.68837664653</v>
      </c>
      <c r="BH178" s="7" t="n">
        <f aca="false">BH153*$D$55/60*$D$56</f>
        <v>1108.25148559237</v>
      </c>
      <c r="BI178" s="7" t="n">
        <f aca="false">BI153*$D$55/60*$D$56</f>
        <v>1135.7467358251</v>
      </c>
      <c r="BJ178" s="7" t="n">
        <f aca="false">BJ153*$D$55/60*$D$56</f>
        <v>1161.32783674457</v>
      </c>
      <c r="BK178" s="7" t="n">
        <f aca="false">BK153*$D$55/60*$D$56</f>
        <v>1185.13646506554</v>
      </c>
    </row>
    <row r="179" customFormat="false" ht="15" hidden="false" customHeight="false" outlineLevel="0" collapsed="false">
      <c r="A179" s="0" t="s">
        <v>219</v>
      </c>
      <c r="D179" s="7" t="n">
        <f aca="false">$D$23</f>
        <v>0</v>
      </c>
      <c r="E179" s="7" t="n">
        <f aca="false">$D$23</f>
        <v>0</v>
      </c>
      <c r="F179" s="7" t="n">
        <f aca="false">$D$23</f>
        <v>0</v>
      </c>
      <c r="G179" s="7" t="n">
        <f aca="false">$D$23</f>
        <v>0</v>
      </c>
      <c r="H179" s="7" t="n">
        <f aca="false">$D$23</f>
        <v>0</v>
      </c>
      <c r="I179" s="7" t="n">
        <f aca="false">$D$23</f>
        <v>0</v>
      </c>
      <c r="J179" s="7" t="n">
        <f aca="false">$D$23</f>
        <v>0</v>
      </c>
      <c r="K179" s="7" t="n">
        <f aca="false">$D$23</f>
        <v>0</v>
      </c>
      <c r="L179" s="7" t="n">
        <f aca="false">$D$23</f>
        <v>0</v>
      </c>
      <c r="M179" s="7" t="n">
        <f aca="false">$D$23</f>
        <v>0</v>
      </c>
      <c r="N179" s="7" t="n">
        <f aca="false">$D$23</f>
        <v>0</v>
      </c>
      <c r="O179" s="7" t="n">
        <f aca="false">$D$23</f>
        <v>0</v>
      </c>
      <c r="P179" s="7" t="n">
        <f aca="false">$D$23</f>
        <v>0</v>
      </c>
      <c r="Q179" s="7" t="n">
        <f aca="false">$D$23</f>
        <v>0</v>
      </c>
      <c r="R179" s="7" t="n">
        <f aca="false">$D$23</f>
        <v>0</v>
      </c>
      <c r="S179" s="7" t="n">
        <f aca="false">$D$23</f>
        <v>0</v>
      </c>
      <c r="T179" s="7" t="n">
        <f aca="false">$D$23</f>
        <v>0</v>
      </c>
      <c r="U179" s="7" t="n">
        <f aca="false">$D$23</f>
        <v>0</v>
      </c>
      <c r="V179" s="7" t="n">
        <f aca="false">$D$23</f>
        <v>0</v>
      </c>
      <c r="W179" s="7" t="n">
        <f aca="false">$D$23</f>
        <v>0</v>
      </c>
      <c r="X179" s="7" t="n">
        <f aca="false">$D$23</f>
        <v>0</v>
      </c>
      <c r="Y179" s="7" t="n">
        <f aca="false">$D$23</f>
        <v>0</v>
      </c>
      <c r="Z179" s="7" t="n">
        <f aca="false">$D$23</f>
        <v>0</v>
      </c>
      <c r="AA179" s="7" t="n">
        <f aca="false">$D$23</f>
        <v>0</v>
      </c>
      <c r="AB179" s="7" t="n">
        <f aca="false">$D$23</f>
        <v>0</v>
      </c>
      <c r="AC179" s="7" t="n">
        <f aca="false">$D$23</f>
        <v>0</v>
      </c>
      <c r="AD179" s="7" t="n">
        <f aca="false">$D$23</f>
        <v>0</v>
      </c>
      <c r="AE179" s="7" t="n">
        <f aca="false">$D$23</f>
        <v>0</v>
      </c>
      <c r="AF179" s="7" t="n">
        <f aca="false">$D$23</f>
        <v>0</v>
      </c>
      <c r="AG179" s="7" t="n">
        <f aca="false">$D$23</f>
        <v>0</v>
      </c>
      <c r="AH179" s="7" t="n">
        <f aca="false">$D$23</f>
        <v>0</v>
      </c>
      <c r="AI179" s="7" t="n">
        <f aca="false">$D$23</f>
        <v>0</v>
      </c>
      <c r="AJ179" s="7" t="n">
        <f aca="false">$D$23</f>
        <v>0</v>
      </c>
      <c r="AK179" s="7" t="n">
        <f aca="false">$D$23</f>
        <v>0</v>
      </c>
      <c r="AL179" s="7" t="n">
        <f aca="false">$D$23</f>
        <v>0</v>
      </c>
      <c r="AM179" s="7" t="n">
        <f aca="false">$D$23</f>
        <v>0</v>
      </c>
      <c r="AN179" s="7" t="n">
        <f aca="false">$D$23</f>
        <v>0</v>
      </c>
      <c r="AO179" s="7" t="n">
        <f aca="false">$D$23</f>
        <v>0</v>
      </c>
      <c r="AP179" s="7" t="n">
        <f aca="false">$D$23</f>
        <v>0</v>
      </c>
      <c r="AQ179" s="7" t="n">
        <f aca="false">$D$23</f>
        <v>0</v>
      </c>
      <c r="AR179" s="7" t="n">
        <f aca="false">$D$23</f>
        <v>0</v>
      </c>
      <c r="AS179" s="7" t="n">
        <f aca="false">$D$23</f>
        <v>0</v>
      </c>
      <c r="AT179" s="7" t="n">
        <f aca="false">$D$23</f>
        <v>0</v>
      </c>
      <c r="AU179" s="7" t="n">
        <f aca="false">$D$23</f>
        <v>0</v>
      </c>
      <c r="AV179" s="7" t="n">
        <f aca="false">$D$23</f>
        <v>0</v>
      </c>
      <c r="AW179" s="7" t="n">
        <f aca="false">$D$23</f>
        <v>0</v>
      </c>
      <c r="AX179" s="7" t="n">
        <f aca="false">$D$23</f>
        <v>0</v>
      </c>
      <c r="AY179" s="7" t="n">
        <f aca="false">$D$23</f>
        <v>0</v>
      </c>
      <c r="AZ179" s="7" t="n">
        <f aca="false">$D$23</f>
        <v>0</v>
      </c>
      <c r="BA179" s="7" t="n">
        <f aca="false">$D$23</f>
        <v>0</v>
      </c>
      <c r="BB179" s="7" t="n">
        <f aca="false">$D$23</f>
        <v>0</v>
      </c>
      <c r="BC179" s="7" t="n">
        <f aca="false">$D$23</f>
        <v>0</v>
      </c>
      <c r="BD179" s="7" t="n">
        <f aca="false">$D$23</f>
        <v>0</v>
      </c>
      <c r="BE179" s="7" t="n">
        <f aca="false">$D$23</f>
        <v>0</v>
      </c>
      <c r="BF179" s="7" t="n">
        <f aca="false">$D$23</f>
        <v>0</v>
      </c>
      <c r="BG179" s="7" t="n">
        <f aca="false">$D$23</f>
        <v>0</v>
      </c>
      <c r="BH179" s="7" t="n">
        <f aca="false">$D$23</f>
        <v>0</v>
      </c>
      <c r="BI179" s="7" t="n">
        <f aca="false">$D$23</f>
        <v>0</v>
      </c>
      <c r="BJ179" s="7" t="n">
        <f aca="false">$D$23</f>
        <v>0</v>
      </c>
      <c r="BK179" s="7" t="n">
        <f aca="false">$D$23</f>
        <v>0</v>
      </c>
    </row>
    <row r="180" customFormat="false" ht="15" hidden="false" customHeight="false" outlineLevel="0" collapsed="false">
      <c r="A180" s="0" t="s">
        <v>220</v>
      </c>
      <c r="D180" s="7" t="n">
        <f aca="false">D142*D145/MAX(D144,0.000001)*$D$27*$D$33</f>
        <v>0</v>
      </c>
      <c r="E180" s="7" t="n">
        <f aca="false">E142*E145/MAX(E144,0.000001)*$D$27*$D$33</f>
        <v>0</v>
      </c>
      <c r="F180" s="7" t="n">
        <f aca="false">F142*F145/MAX(F144,0.000001)*$D$27*$D$33</f>
        <v>0</v>
      </c>
      <c r="G180" s="7" t="n">
        <f aca="false">G142*G145/MAX(G144,0.000001)*$D$27*$D$33</f>
        <v>0</v>
      </c>
      <c r="H180" s="7" t="n">
        <f aca="false">H142*H145/MAX(H144,0.000001)*$D$27*$D$33</f>
        <v>0</v>
      </c>
      <c r="I180" s="7" t="n">
        <f aca="false">I142*I145/MAX(I144,0.000001)*$D$27*$D$33</f>
        <v>0</v>
      </c>
      <c r="J180" s="7" t="n">
        <f aca="false">J142*J145/MAX(J144,0.000001)*$D$27*$D$33</f>
        <v>0</v>
      </c>
      <c r="K180" s="7" t="n">
        <f aca="false">K142*K145/MAX(K144,0.000001)*$D$27*$D$33</f>
        <v>0</v>
      </c>
      <c r="L180" s="7" t="n">
        <f aca="false">L142*L145/MAX(L144,0.000001)*$D$27*$D$33</f>
        <v>0</v>
      </c>
      <c r="M180" s="7" t="n">
        <f aca="false">M142*M145/MAX(M144,0.000001)*$D$27*$D$33</f>
        <v>0</v>
      </c>
      <c r="N180" s="7" t="n">
        <f aca="false">N142*N145/MAX(N144,0.000001)*$D$27*$D$33</f>
        <v>0</v>
      </c>
      <c r="O180" s="7" t="n">
        <f aca="false">O142*O145/MAX(O144,0.000001)*$D$27*$D$33</f>
        <v>0</v>
      </c>
      <c r="P180" s="7" t="n">
        <f aca="false">P142*P145/MAX(P144,0.000001)*$D$27*$D$33</f>
        <v>0</v>
      </c>
      <c r="Q180" s="7" t="n">
        <f aca="false">Q142*Q145/MAX(Q144,0.000001)*$D$27*$D$33</f>
        <v>0</v>
      </c>
      <c r="R180" s="7" t="n">
        <f aca="false">R142*R145/MAX(R144,0.000001)*$D$27*$D$33</f>
        <v>0</v>
      </c>
      <c r="S180" s="7" t="n">
        <f aca="false">S142*S145/MAX(S144,0.000001)*$D$27*$D$33</f>
        <v>0</v>
      </c>
      <c r="T180" s="7" t="n">
        <f aca="false">T142*T145/MAX(T144,0.000001)*$D$27*$D$33</f>
        <v>0</v>
      </c>
      <c r="U180" s="7" t="n">
        <f aca="false">U142*U145/MAX(U144,0.000001)*$D$27*$D$33</f>
        <v>0</v>
      </c>
      <c r="V180" s="7" t="n">
        <f aca="false">V142*V145/MAX(V144,0.000001)*$D$27*$D$33</f>
        <v>0</v>
      </c>
      <c r="W180" s="7" t="n">
        <f aca="false">W142*W145/MAX(W144,0.000001)*$D$27*$D$33</f>
        <v>0</v>
      </c>
      <c r="X180" s="7" t="n">
        <f aca="false">X142*X145/MAX(X144,0.000001)*$D$27*$D$33</f>
        <v>0</v>
      </c>
      <c r="Y180" s="7" t="n">
        <f aca="false">Y142*Y145/MAX(Y144,0.000001)*$D$27*$D$33</f>
        <v>0</v>
      </c>
      <c r="Z180" s="7" t="n">
        <f aca="false">Z142*Z145/MAX(Z144,0.000001)*$D$27*$D$33</f>
        <v>0</v>
      </c>
      <c r="AA180" s="7" t="n">
        <f aca="false">AA142*AA145/MAX(AA144,0.000001)*$D$27*$D$33</f>
        <v>0</v>
      </c>
      <c r="AB180" s="7" t="n">
        <f aca="false">AB142*AB145/MAX(AB144,0.000001)*$D$27*$D$33</f>
        <v>0</v>
      </c>
      <c r="AC180" s="7" t="n">
        <f aca="false">AC142*AC145/MAX(AC144,0.000001)*$D$27*$D$33</f>
        <v>0</v>
      </c>
      <c r="AD180" s="7" t="n">
        <f aca="false">AD142*AD145/MAX(AD144,0.000001)*$D$27*$D$33</f>
        <v>0</v>
      </c>
      <c r="AE180" s="7" t="n">
        <f aca="false">AE142*AE145/MAX(AE144,0.000001)*$D$27*$D$33</f>
        <v>0</v>
      </c>
      <c r="AF180" s="7" t="n">
        <f aca="false">AF142*AF145/MAX(AF144,0.000001)*$D$27*$D$33</f>
        <v>0</v>
      </c>
      <c r="AG180" s="7" t="n">
        <f aca="false">AG142*AG145/MAX(AG144,0.000001)*$D$27*$D$33</f>
        <v>0</v>
      </c>
      <c r="AH180" s="7" t="n">
        <f aca="false">AH142*AH145/MAX(AH144,0.000001)*$D$27*$D$33</f>
        <v>0</v>
      </c>
      <c r="AI180" s="7" t="n">
        <f aca="false">AI142*AI145/MAX(AI144,0.000001)*$D$27*$D$33</f>
        <v>0</v>
      </c>
      <c r="AJ180" s="7" t="n">
        <f aca="false">AJ142*AJ145/MAX(AJ144,0.000001)*$D$27*$D$33</f>
        <v>0</v>
      </c>
      <c r="AK180" s="7" t="n">
        <f aca="false">AK142*AK145/MAX(AK144,0.000001)*$D$27*$D$33</f>
        <v>0</v>
      </c>
      <c r="AL180" s="7" t="n">
        <f aca="false">AL142*AL145/MAX(AL144,0.000001)*$D$27*$D$33</f>
        <v>0</v>
      </c>
      <c r="AM180" s="7" t="n">
        <f aca="false">AM142*AM145/MAX(AM144,0.000001)*$D$27*$D$33</f>
        <v>0</v>
      </c>
      <c r="AN180" s="7" t="n">
        <f aca="false">AN142*AN145/MAX(AN144,0.000001)*$D$27*$D$33</f>
        <v>0</v>
      </c>
      <c r="AO180" s="7" t="n">
        <f aca="false">AO142*AO145/MAX(AO144,0.000001)*$D$27*$D$33</f>
        <v>0</v>
      </c>
      <c r="AP180" s="7" t="n">
        <f aca="false">AP142*AP145/MAX(AP144,0.000001)*$D$27*$D$33</f>
        <v>0</v>
      </c>
      <c r="AQ180" s="7" t="n">
        <f aca="false">AQ142*AQ145/MAX(AQ144,0.000001)*$D$27*$D$33</f>
        <v>0</v>
      </c>
      <c r="AR180" s="7" t="n">
        <f aca="false">AR142*AR145/MAX(AR144,0.000001)*$D$27*$D$33</f>
        <v>0</v>
      </c>
      <c r="AS180" s="7" t="n">
        <f aca="false">AS142*AS145/MAX(AS144,0.000001)*$D$27*$D$33</f>
        <v>0</v>
      </c>
      <c r="AT180" s="7" t="n">
        <f aca="false">AT142*AT145/MAX(AT144,0.000001)*$D$27*$D$33</f>
        <v>0</v>
      </c>
      <c r="AU180" s="7" t="n">
        <f aca="false">AU142*AU145/MAX(AU144,0.000001)*$D$27*$D$33</f>
        <v>0</v>
      </c>
      <c r="AV180" s="7" t="n">
        <f aca="false">AV142*AV145/MAX(AV144,0.000001)*$D$27*$D$33</f>
        <v>0</v>
      </c>
      <c r="AW180" s="7" t="n">
        <f aca="false">AW142*AW145/MAX(AW144,0.000001)*$D$27*$D$33</f>
        <v>0</v>
      </c>
      <c r="AX180" s="7" t="n">
        <f aca="false">AX142*AX145/MAX(AX144,0.000001)*$D$27*$D$33</f>
        <v>0</v>
      </c>
      <c r="AY180" s="7" t="n">
        <f aca="false">AY142*AY145/MAX(AY144,0.000001)*$D$27*$D$33</f>
        <v>0</v>
      </c>
      <c r="AZ180" s="7" t="n">
        <f aca="false">AZ142*AZ145/MAX(AZ144,0.000001)*$D$27*$D$33</f>
        <v>0</v>
      </c>
      <c r="BA180" s="7" t="n">
        <f aca="false">BA142*BA145/MAX(BA144,0.000001)*$D$27*$D$33</f>
        <v>0</v>
      </c>
      <c r="BB180" s="7" t="n">
        <f aca="false">BB142*BB145/MAX(BB144,0.000001)*$D$27*$D$33</f>
        <v>0</v>
      </c>
      <c r="BC180" s="7" t="n">
        <f aca="false">BC142*BC145/MAX(BC144,0.000001)*$D$27*$D$33</f>
        <v>0</v>
      </c>
      <c r="BD180" s="7" t="n">
        <f aca="false">BD142*BD145/MAX(BD144,0.000001)*$D$27*$D$33</f>
        <v>0</v>
      </c>
      <c r="BE180" s="7" t="n">
        <f aca="false">BE142*BE145/MAX(BE144,0.000001)*$D$27*$D$33</f>
        <v>0</v>
      </c>
      <c r="BF180" s="7" t="n">
        <f aca="false">BF142*BF145/MAX(BF144,0.000001)*$D$27*$D$33</f>
        <v>0</v>
      </c>
      <c r="BG180" s="7" t="n">
        <f aca="false">BG142*BG145/MAX(BG144,0.000001)*$D$27*$D$33</f>
        <v>0</v>
      </c>
      <c r="BH180" s="7" t="n">
        <f aca="false">BH142*BH145/MAX(BH144,0.000001)*$D$27*$D$33</f>
        <v>0</v>
      </c>
      <c r="BI180" s="7" t="n">
        <f aca="false">BI142*BI145/MAX(BI144,0.000001)*$D$27*$D$33</f>
        <v>0</v>
      </c>
      <c r="BJ180" s="7" t="n">
        <f aca="false">BJ142*BJ145/MAX(BJ144,0.000001)*$D$27*$D$33</f>
        <v>0</v>
      </c>
      <c r="BK180" s="7" t="n">
        <f aca="false">BK142*BK145/MAX(BK144,0.000001)*$D$27*$D$33</f>
        <v>0</v>
      </c>
    </row>
    <row r="181" customFormat="false" ht="15" hidden="false" customHeight="false" outlineLevel="0" collapsed="false">
      <c r="A181" s="0" t="s">
        <v>221</v>
      </c>
      <c r="D181" s="7" t="n">
        <f aca="false">$D$57</f>
        <v>40</v>
      </c>
      <c r="E181" s="7" t="n">
        <f aca="false">$D$57</f>
        <v>40</v>
      </c>
      <c r="F181" s="7" t="n">
        <f aca="false">$D$57</f>
        <v>40</v>
      </c>
      <c r="G181" s="7" t="n">
        <f aca="false">$D$57</f>
        <v>40</v>
      </c>
      <c r="H181" s="7" t="n">
        <f aca="false">$D$57</f>
        <v>40</v>
      </c>
      <c r="I181" s="7" t="n">
        <f aca="false">$D$57</f>
        <v>40</v>
      </c>
      <c r="J181" s="7" t="n">
        <f aca="false">$D$57</f>
        <v>40</v>
      </c>
      <c r="K181" s="7" t="n">
        <f aca="false">$D$57</f>
        <v>40</v>
      </c>
      <c r="L181" s="7" t="n">
        <f aca="false">$D$57</f>
        <v>40</v>
      </c>
      <c r="M181" s="7" t="n">
        <f aca="false">$D$57</f>
        <v>40</v>
      </c>
      <c r="N181" s="7" t="n">
        <f aca="false">$D$57</f>
        <v>40</v>
      </c>
      <c r="O181" s="7" t="n">
        <f aca="false">$D$57</f>
        <v>40</v>
      </c>
      <c r="P181" s="7" t="n">
        <f aca="false">$D$57</f>
        <v>40</v>
      </c>
      <c r="Q181" s="7" t="n">
        <f aca="false">$D$57</f>
        <v>40</v>
      </c>
      <c r="R181" s="7" t="n">
        <f aca="false">$D$57</f>
        <v>40</v>
      </c>
      <c r="S181" s="7" t="n">
        <f aca="false">$D$57</f>
        <v>40</v>
      </c>
      <c r="T181" s="7" t="n">
        <f aca="false">$D$57</f>
        <v>40</v>
      </c>
      <c r="U181" s="7" t="n">
        <f aca="false">$D$57</f>
        <v>40</v>
      </c>
      <c r="V181" s="7" t="n">
        <f aca="false">$D$57</f>
        <v>40</v>
      </c>
      <c r="W181" s="7" t="n">
        <f aca="false">$D$57</f>
        <v>40</v>
      </c>
      <c r="X181" s="7" t="n">
        <f aca="false">$D$57</f>
        <v>40</v>
      </c>
      <c r="Y181" s="7" t="n">
        <f aca="false">$D$57</f>
        <v>40</v>
      </c>
      <c r="Z181" s="7" t="n">
        <f aca="false">$D$57</f>
        <v>40</v>
      </c>
      <c r="AA181" s="7" t="n">
        <f aca="false">$D$57</f>
        <v>40</v>
      </c>
      <c r="AB181" s="7" t="n">
        <f aca="false">$D$57</f>
        <v>40</v>
      </c>
      <c r="AC181" s="7" t="n">
        <f aca="false">$D$57</f>
        <v>40</v>
      </c>
      <c r="AD181" s="7" t="n">
        <f aca="false">$D$57</f>
        <v>40</v>
      </c>
      <c r="AE181" s="7" t="n">
        <f aca="false">$D$57</f>
        <v>40</v>
      </c>
      <c r="AF181" s="7" t="n">
        <f aca="false">$D$57</f>
        <v>40</v>
      </c>
      <c r="AG181" s="7" t="n">
        <f aca="false">$D$57</f>
        <v>40</v>
      </c>
      <c r="AH181" s="7" t="n">
        <f aca="false">$D$57</f>
        <v>40</v>
      </c>
      <c r="AI181" s="7" t="n">
        <f aca="false">$D$57</f>
        <v>40</v>
      </c>
      <c r="AJ181" s="7" t="n">
        <f aca="false">$D$57</f>
        <v>40</v>
      </c>
      <c r="AK181" s="7" t="n">
        <f aca="false">$D$57</f>
        <v>40</v>
      </c>
      <c r="AL181" s="7" t="n">
        <f aca="false">$D$57</f>
        <v>40</v>
      </c>
      <c r="AM181" s="7" t="n">
        <f aca="false">$D$57</f>
        <v>40</v>
      </c>
      <c r="AN181" s="7" t="n">
        <f aca="false">$D$57</f>
        <v>40</v>
      </c>
      <c r="AO181" s="7" t="n">
        <f aca="false">$D$57</f>
        <v>40</v>
      </c>
      <c r="AP181" s="7" t="n">
        <f aca="false">$D$57</f>
        <v>40</v>
      </c>
      <c r="AQ181" s="7" t="n">
        <f aca="false">$D$57</f>
        <v>40</v>
      </c>
      <c r="AR181" s="7" t="n">
        <f aca="false">$D$57</f>
        <v>40</v>
      </c>
      <c r="AS181" s="7" t="n">
        <f aca="false">$D$57</f>
        <v>40</v>
      </c>
      <c r="AT181" s="7" t="n">
        <f aca="false">$D$57</f>
        <v>40</v>
      </c>
      <c r="AU181" s="7" t="n">
        <f aca="false">$D$57</f>
        <v>40</v>
      </c>
      <c r="AV181" s="7" t="n">
        <f aca="false">$D$57</f>
        <v>40</v>
      </c>
      <c r="AW181" s="7" t="n">
        <f aca="false">$D$57</f>
        <v>40</v>
      </c>
      <c r="AX181" s="7" t="n">
        <f aca="false">$D$57</f>
        <v>40</v>
      </c>
      <c r="AY181" s="7" t="n">
        <f aca="false">$D$57</f>
        <v>40</v>
      </c>
      <c r="AZ181" s="7" t="n">
        <f aca="false">$D$57</f>
        <v>40</v>
      </c>
      <c r="BA181" s="7" t="n">
        <f aca="false">$D$57</f>
        <v>40</v>
      </c>
      <c r="BB181" s="7" t="n">
        <f aca="false">$D$57</f>
        <v>40</v>
      </c>
      <c r="BC181" s="7" t="n">
        <f aca="false">$D$57</f>
        <v>40</v>
      </c>
      <c r="BD181" s="7" t="n">
        <f aca="false">$D$57</f>
        <v>40</v>
      </c>
      <c r="BE181" s="7" t="n">
        <f aca="false">$D$57</f>
        <v>40</v>
      </c>
      <c r="BF181" s="7" t="n">
        <f aca="false">$D$57</f>
        <v>40</v>
      </c>
      <c r="BG181" s="7" t="n">
        <f aca="false">$D$57</f>
        <v>40</v>
      </c>
      <c r="BH181" s="7" t="n">
        <f aca="false">$D$57</f>
        <v>40</v>
      </c>
      <c r="BI181" s="7" t="n">
        <f aca="false">$D$57</f>
        <v>40</v>
      </c>
      <c r="BJ181" s="7" t="n">
        <f aca="false">$D$57</f>
        <v>40</v>
      </c>
      <c r="BK181" s="7" t="n">
        <f aca="false">$D$57</f>
        <v>40</v>
      </c>
    </row>
    <row r="182" customFormat="false" ht="15" hidden="false" customHeight="false" outlineLevel="0" collapsed="false">
      <c r="A182" s="0" t="s">
        <v>222</v>
      </c>
      <c r="D182" s="7" t="n">
        <f aca="false">$D$58</f>
        <v>0</v>
      </c>
      <c r="E182" s="7" t="n">
        <f aca="false">$D$58</f>
        <v>0</v>
      </c>
      <c r="F182" s="7" t="n">
        <f aca="false">$D$58</f>
        <v>0</v>
      </c>
      <c r="G182" s="7" t="n">
        <f aca="false">$D$58</f>
        <v>0</v>
      </c>
      <c r="H182" s="7" t="n">
        <f aca="false">$D$58</f>
        <v>0</v>
      </c>
      <c r="I182" s="7" t="n">
        <f aca="false">$D$58</f>
        <v>0</v>
      </c>
      <c r="J182" s="7" t="n">
        <f aca="false">$D$58</f>
        <v>0</v>
      </c>
      <c r="K182" s="7" t="n">
        <f aca="false">$D$58</f>
        <v>0</v>
      </c>
      <c r="L182" s="7" t="n">
        <f aca="false">$D$58</f>
        <v>0</v>
      </c>
      <c r="M182" s="7" t="n">
        <f aca="false">$D$58</f>
        <v>0</v>
      </c>
      <c r="N182" s="7" t="n">
        <f aca="false">$D$58</f>
        <v>0</v>
      </c>
      <c r="O182" s="7" t="n">
        <f aca="false">$D$58</f>
        <v>0</v>
      </c>
      <c r="P182" s="7" t="n">
        <f aca="false">$D$58</f>
        <v>0</v>
      </c>
      <c r="Q182" s="7" t="n">
        <f aca="false">$D$58</f>
        <v>0</v>
      </c>
      <c r="R182" s="7" t="n">
        <f aca="false">$D$58</f>
        <v>0</v>
      </c>
      <c r="S182" s="7" t="n">
        <f aca="false">$D$58</f>
        <v>0</v>
      </c>
      <c r="T182" s="7" t="n">
        <f aca="false">$D$58</f>
        <v>0</v>
      </c>
      <c r="U182" s="7" t="n">
        <f aca="false">$D$58</f>
        <v>0</v>
      </c>
      <c r="V182" s="7" t="n">
        <f aca="false">$D$58</f>
        <v>0</v>
      </c>
      <c r="W182" s="7" t="n">
        <f aca="false">$D$58</f>
        <v>0</v>
      </c>
      <c r="X182" s="7" t="n">
        <f aca="false">$D$58</f>
        <v>0</v>
      </c>
      <c r="Y182" s="7" t="n">
        <f aca="false">$D$58</f>
        <v>0</v>
      </c>
      <c r="Z182" s="7" t="n">
        <f aca="false">$D$58</f>
        <v>0</v>
      </c>
      <c r="AA182" s="7" t="n">
        <f aca="false">$D$58</f>
        <v>0</v>
      </c>
      <c r="AB182" s="7" t="n">
        <f aca="false">$D$58</f>
        <v>0</v>
      </c>
      <c r="AC182" s="7" t="n">
        <f aca="false">$D$58</f>
        <v>0</v>
      </c>
      <c r="AD182" s="7" t="n">
        <f aca="false">$D$58</f>
        <v>0</v>
      </c>
      <c r="AE182" s="7" t="n">
        <f aca="false">$D$58</f>
        <v>0</v>
      </c>
      <c r="AF182" s="7" t="n">
        <f aca="false">$D$58</f>
        <v>0</v>
      </c>
      <c r="AG182" s="7" t="n">
        <f aca="false">$D$58</f>
        <v>0</v>
      </c>
      <c r="AH182" s="7" t="n">
        <f aca="false">$D$58</f>
        <v>0</v>
      </c>
      <c r="AI182" s="7" t="n">
        <f aca="false">$D$58</f>
        <v>0</v>
      </c>
      <c r="AJ182" s="7" t="n">
        <f aca="false">$D$58</f>
        <v>0</v>
      </c>
      <c r="AK182" s="7" t="n">
        <f aca="false">$D$58</f>
        <v>0</v>
      </c>
      <c r="AL182" s="7" t="n">
        <f aca="false">$D$58</f>
        <v>0</v>
      </c>
      <c r="AM182" s="7" t="n">
        <f aca="false">$D$58</f>
        <v>0</v>
      </c>
      <c r="AN182" s="7" t="n">
        <f aca="false">$D$58</f>
        <v>0</v>
      </c>
      <c r="AO182" s="7" t="n">
        <f aca="false">$D$58</f>
        <v>0</v>
      </c>
      <c r="AP182" s="7" t="n">
        <f aca="false">$D$58</f>
        <v>0</v>
      </c>
      <c r="AQ182" s="7" t="n">
        <f aca="false">$D$58</f>
        <v>0</v>
      </c>
      <c r="AR182" s="7" t="n">
        <f aca="false">$D$58</f>
        <v>0</v>
      </c>
      <c r="AS182" s="7" t="n">
        <f aca="false">$D$58</f>
        <v>0</v>
      </c>
      <c r="AT182" s="7" t="n">
        <f aca="false">$D$58</f>
        <v>0</v>
      </c>
      <c r="AU182" s="7" t="n">
        <f aca="false">$D$58</f>
        <v>0</v>
      </c>
      <c r="AV182" s="7" t="n">
        <f aca="false">$D$58</f>
        <v>0</v>
      </c>
      <c r="AW182" s="7" t="n">
        <f aca="false">$D$58</f>
        <v>0</v>
      </c>
      <c r="AX182" s="7" t="n">
        <f aca="false">$D$58</f>
        <v>0</v>
      </c>
      <c r="AY182" s="7" t="n">
        <f aca="false">$D$58</f>
        <v>0</v>
      </c>
      <c r="AZ182" s="7" t="n">
        <f aca="false">$D$58</f>
        <v>0</v>
      </c>
      <c r="BA182" s="7" t="n">
        <f aca="false">$D$58</f>
        <v>0</v>
      </c>
      <c r="BB182" s="7" t="n">
        <f aca="false">$D$58</f>
        <v>0</v>
      </c>
      <c r="BC182" s="7" t="n">
        <f aca="false">$D$58</f>
        <v>0</v>
      </c>
      <c r="BD182" s="7" t="n">
        <f aca="false">$D$58</f>
        <v>0</v>
      </c>
      <c r="BE182" s="7" t="n">
        <f aca="false">$D$58</f>
        <v>0</v>
      </c>
      <c r="BF182" s="7" t="n">
        <f aca="false">$D$58</f>
        <v>0</v>
      </c>
      <c r="BG182" s="7" t="n">
        <f aca="false">$D$58</f>
        <v>0</v>
      </c>
      <c r="BH182" s="7" t="n">
        <f aca="false">$D$58</f>
        <v>0</v>
      </c>
      <c r="BI182" s="7" t="n">
        <f aca="false">$D$58</f>
        <v>0</v>
      </c>
      <c r="BJ182" s="7" t="n">
        <f aca="false">$D$58</f>
        <v>0</v>
      </c>
      <c r="BK182" s="7" t="n">
        <f aca="false">$D$58</f>
        <v>0</v>
      </c>
    </row>
    <row r="183" customFormat="false" ht="15" hidden="false" customHeight="false" outlineLevel="0" collapsed="false">
      <c r="A183" s="6" t="s">
        <v>223</v>
      </c>
      <c r="D183" s="7" t="n">
        <f aca="false">D169-D176-D177-D178-D179-D180-D181-D182</f>
        <v>-81.1947067140657</v>
      </c>
      <c r="E183" s="7" t="n">
        <f aca="false">E169-E176-E177-E178-E179-E180-E181-E182</f>
        <v>-61.1720347461472</v>
      </c>
      <c r="F183" s="7" t="n">
        <f aca="false">F169-F176-F177-F178-F179-F180-F181-F182</f>
        <v>-40.2299583619867</v>
      </c>
      <c r="G183" s="7" t="n">
        <f aca="false">G169-G176-G177-G178-G179-G180-G181-G182</f>
        <v>-18.2256279806036</v>
      </c>
      <c r="H183" s="7" t="n">
        <f aca="false">H169-H176-H177-H178-H179-H180-H181-H182</f>
        <v>5.00128414742905</v>
      </c>
      <c r="I183" s="7" t="n">
        <f aca="false">I169-I176-I177-I178-I179-I180-I181-I182</f>
        <v>29.628041995303</v>
      </c>
      <c r="J183" s="7" t="n">
        <f aca="false">J169-J176-J177-J178-J179-J180-J181-J182</f>
        <v>55.8490384584332</v>
      </c>
      <c r="K183" s="7" t="n">
        <f aca="false">K169-K176-K177-K178-K179-K180-K181-K182</f>
        <v>83.8765513309268</v>
      </c>
      <c r="L183" s="7" t="n">
        <f aca="false">L169-L176-L177-L178-L179-L180-L181-L182</f>
        <v>113.941948187427</v>
      </c>
      <c r="M183" s="7" t="n">
        <f aca="false">M169-M176-M177-M178-M179-M180-M181-M182</f>
        <v>146.297266192701</v>
      </c>
      <c r="N183" s="7" t="n">
        <f aca="false">N169-N176-N177-N178-N179-N180-N181-N182</f>
        <v>181.217121693182</v>
      </c>
      <c r="O183" s="7" t="n">
        <f aca="false">O169-O176-O177-O178-O179-O180-O181-O182</f>
        <v>219.000925242396</v>
      </c>
      <c r="P183" s="7" t="n">
        <f aca="false">P169-P176-P177-P178-P179-P180-P181-P182</f>
        <v>259.975392951851</v>
      </c>
      <c r="Q183" s="7" t="n">
        <f aca="false">Q169-Q176-Q177-Q178-Q179-Q180-Q181-Q182</f>
        <v>304.497356479811</v>
      </c>
      <c r="R183" s="7" t="n">
        <f aca="false">R169-R176-R177-R178-R179-R180-R181-R182</f>
        <v>352.956882796939</v>
      </c>
      <c r="S183" s="7" t="n">
        <f aca="false">S169-S176-S177-S178-S179-S180-S181-S182</f>
        <v>405.780721964728</v>
      </c>
      <c r="T183" s="7" t="n">
        <f aca="false">T169-T176-T177-T178-T179-T180-T181-T182</f>
        <v>463.436107143497</v>
      </c>
      <c r="U183" s="7" t="n">
        <f aca="false">U169-U176-U177-U178-U179-U180-U181-U182</f>
        <v>526.434936350434</v>
      </c>
      <c r="V183" s="7" t="n">
        <f aca="false">V169-V176-V177-V178-V179-V180-V181-V182</f>
        <v>595.338370431808</v>
      </c>
      <c r="W183" s="7" t="n">
        <f aca="false">W169-W176-W177-W178-W179-W180-W181-W182</f>
        <v>670.761886530564</v>
      </c>
      <c r="X183" s="7" t="n">
        <f aca="false">X169-X176-X177-X178-X179-X180-X181-X182</f>
        <v>753.380831196559</v>
      </c>
      <c r="Y183" s="7" t="n">
        <f aca="false">Y169-Y176-Y177-Y178-Y179-Y180-Y181-Y182</f>
        <v>843.936522338307</v>
      </c>
      <c r="Z183" s="7" t="n">
        <f aca="false">Z169-Z176-Z177-Z178-Z179-Z180-Z181-Z182</f>
        <v>943.242954562865</v>
      </c>
      <c r="AA183" s="7" t="n">
        <f aca="false">AA169-AA176-AA177-AA178-AA179-AA180-AA181-AA182</f>
        <v>1052.19416818816</v>
      </c>
      <c r="AB183" s="7" t="n">
        <f aca="false">AB169-AB176-AB177-AB178-AB179-AB180-AB181-AB182</f>
        <v>1171.77234842357</v>
      </c>
      <c r="AC183" s="7" t="n">
        <f aca="false">AC169-AC176-AC177-AC178-AC179-AC180-AC181-AC182</f>
        <v>1303.05672797861</v>
      </c>
      <c r="AD183" s="7" t="n">
        <f aca="false">AD169-AD176-AD177-AD178-AD179-AD180-AD181-AD182</f>
        <v>1447.23337375288</v>
      </c>
      <c r="AE183" s="7" t="n">
        <f aca="false">AE169-AE176-AE177-AE178-AE179-AE180-AE181-AE182</f>
        <v>1605.60594636162</v>
      </c>
      <c r="AF183" s="7" t="n">
        <f aca="false">AF169-AF176-AF177-AF178-AF179-AF180-AF181-AF182</f>
        <v>1779.60753014097</v>
      </c>
      <c r="AG183" s="7" t="n">
        <f aca="false">AG169-AG176-AG177-AG178-AG179-AG180-AG181-AG182</f>
        <v>1970.8136410419</v>
      </c>
      <c r="AH183" s="7" t="n">
        <f aca="false">AH169-AH176-AH177-AH178-AH179-AH180-AH181-AH182</f>
        <v>2180.95653055415</v>
      </c>
      <c r="AI183" s="7" t="n">
        <f aca="false">AI169-AI176-AI177-AI178-AI179-AI180-AI181-AI182</f>
        <v>2411.94091560151</v>
      </c>
      <c r="AJ183" s="7" t="n">
        <f aca="false">AJ169-AJ176-AJ177-AJ178-AJ179-AJ180-AJ181-AJ182</f>
        <v>2665.86127732671</v>
      </c>
      <c r="AK183" s="7" t="n">
        <f aca="false">AK169-AK176-AK177-AK178-AK179-AK180-AK181-AK182</f>
        <v>2945.02088595697</v>
      </c>
      <c r="AL183" s="7" t="n">
        <f aca="false">AL169-AL176-AL177-AL178-AL179-AL180-AL181-AL182</f>
        <v>3251.95272464099</v>
      </c>
      <c r="AM183" s="7" t="n">
        <f aca="false">AM169-AM176-AM177-AM178-AM179-AM180-AM181-AM182</f>
        <v>3589.44250241796</v>
      </c>
      <c r="AN183" s="7" t="n">
        <f aca="false">AN169-AN176-AN177-AN178-AN179-AN180-AN181-AN182</f>
        <v>3960.55396547612</v>
      </c>
      <c r="AO183" s="7" t="n">
        <f aca="false">AO169-AO176-AO177-AO178-AO179-AO180-AO181-AO182</f>
        <v>4368.65673675673</v>
      </c>
      <c r="AP183" s="7" t="n">
        <f aca="false">AP169-AP176-AP177-AP178-AP179-AP180-AP181-AP182</f>
        <v>4817.45693694728</v>
      </c>
      <c r="AQ183" s="7" t="n">
        <f aca="false">AQ169-AQ176-AQ177-AQ178-AQ179-AQ180-AQ181-AQ182</f>
        <v>5311.03086519688</v>
      </c>
      <c r="AR183" s="7" t="n">
        <f aca="false">AR169-AR176-AR177-AR178-AR179-AR180-AR181-AR182</f>
        <v>5853.86204570458</v>
      </c>
      <c r="AS183" s="7" t="n">
        <f aca="false">AS169-AS176-AS177-AS178-AS179-AS180-AS181-AS182</f>
        <v>6450.88197693316</v>
      </c>
      <c r="AT183" s="7" t="n">
        <f aca="false">AT169-AT176-AT177-AT178-AT179-AT180-AT181-AT182</f>
        <v>7107.51495386306</v>
      </c>
      <c r="AU183" s="7" t="n">
        <f aca="false">AU169-AU176-AU177-AU178-AU179-AU180-AU181-AU182</f>
        <v>7829.72737073081</v>
      </c>
      <c r="AV183" s="7" t="n">
        <f aca="false">AV169-AV176-AV177-AV178-AV179-AV180-AV181-AV182</f>
        <v>8624.08195243004</v>
      </c>
      <c r="AW183" s="7" t="n">
        <f aca="false">AW169-AW176-AW177-AW178-AW179-AW180-AW181-AW182</f>
        <v>9497.79740756057</v>
      </c>
      <c r="AX183" s="7" t="n">
        <f aca="false">AX169-AX176-AX177-AX178-AX179-AX180-AX181-AX182</f>
        <v>10455.4378924783</v>
      </c>
      <c r="AY183" s="7" t="n">
        <f aca="false">AY169-AY176-AY177-AY178-AY179-AY180-AY181-AY182</f>
        <v>11358.4527426694</v>
      </c>
      <c r="AZ183" s="7" t="n">
        <f aca="false">AZ169-AZ176-AZ177-AZ178-AZ179-AZ180-AZ181-AZ182</f>
        <v>12206.7636839654</v>
      </c>
      <c r="BA183" s="7" t="n">
        <f aca="false">BA169-BA176-BA177-BA178-BA179-BA180-BA181-BA182</f>
        <v>13003.557598559</v>
      </c>
      <c r="BB183" s="7" t="n">
        <f aca="false">BB169-BB176-BB177-BB178-BB179-BB180-BB181-BB182</f>
        <v>13751.9320027887</v>
      </c>
      <c r="BC183" s="7" t="n">
        <f aca="false">BC169-BC176-BC177-BC178-BC179-BC180-BC181-BC182</f>
        <v>14454.8609890247</v>
      </c>
      <c r="BD183" s="7" t="n">
        <f aca="false">BD169-BD176-BD177-BD178-BD179-BD180-BD181-BD182</f>
        <v>15115.1759373366</v>
      </c>
      <c r="BE183" s="7" t="n">
        <f aca="false">BE169-BE176-BE177-BE178-BE179-BE180-BE181-BE182</f>
        <v>15735.5562072358</v>
      </c>
      <c r="BF183" s="7" t="n">
        <f aca="false">BF169-BF176-BF177-BF178-BF179-BF180-BF181-BF182</f>
        <v>16318.5264861409</v>
      </c>
      <c r="BG183" s="7" t="n">
        <f aca="false">BG169-BG176-BG177-BG178-BG179-BG180-BG181-BG182</f>
        <v>16866.4584951709</v>
      </c>
      <c r="BH183" s="7" t="n">
        <f aca="false">BH169-BH176-BH177-BH178-BH179-BH180-BH181-BH182</f>
        <v>17381.5754673669</v>
      </c>
      <c r="BI183" s="7" t="n">
        <f aca="false">BI169-BI176-BI177-BI178-BI179-BI180-BI181-BI182</f>
        <v>17865.9583115172</v>
      </c>
      <c r="BJ183" s="7" t="n">
        <f aca="false">BJ169-BJ176-BJ177-BJ178-BJ179-BJ180-BJ181-BJ182</f>
        <v>18321.5527215079</v>
      </c>
      <c r="BK183" s="7" t="n">
        <f aca="false">BK169-BK176-BK177-BK178-BK179-BK180-BK181-BK182</f>
        <v>18750.1767321134</v>
      </c>
    </row>
    <row r="184" customFormat="false" ht="15" hidden="false" customHeight="false" outlineLevel="0" collapsed="false">
      <c r="A184" s="0" t="s">
        <v>224</v>
      </c>
      <c r="C184" s="0" t="n">
        <v>0</v>
      </c>
      <c r="D184" s="7" t="n">
        <f aca="false">C184+D183</f>
        <v>-81.1947067140657</v>
      </c>
      <c r="E184" s="7" t="n">
        <f aca="false">D184+E183</f>
        <v>-142.366741460213</v>
      </c>
      <c r="F184" s="7" t="n">
        <f aca="false">E184+F183</f>
        <v>-182.5966998222</v>
      </c>
      <c r="G184" s="7" t="n">
        <f aca="false">F184+G183</f>
        <v>-200.822327802803</v>
      </c>
      <c r="H184" s="7" t="n">
        <f aca="false">G184+H183</f>
        <v>-195.821043655374</v>
      </c>
      <c r="I184" s="7" t="n">
        <f aca="false">H184+I183</f>
        <v>-166.193001660071</v>
      </c>
      <c r="J184" s="7" t="n">
        <f aca="false">I184+J183</f>
        <v>-110.343963201638</v>
      </c>
      <c r="K184" s="7" t="n">
        <f aca="false">J184+K183</f>
        <v>-26.4674118707111</v>
      </c>
      <c r="L184" s="7" t="n">
        <f aca="false">K184+L183</f>
        <v>87.4745363167157</v>
      </c>
      <c r="M184" s="7" t="n">
        <f aca="false">L184+M183</f>
        <v>233.771802509417</v>
      </c>
      <c r="N184" s="7" t="n">
        <f aca="false">M184+N183</f>
        <v>414.988924202599</v>
      </c>
      <c r="O184" s="7" t="n">
        <f aca="false">N184+O183</f>
        <v>633.989849444995</v>
      </c>
      <c r="P184" s="7" t="n">
        <f aca="false">O184+P183</f>
        <v>893.965242396846</v>
      </c>
      <c r="Q184" s="7" t="n">
        <f aca="false">P184+Q183</f>
        <v>1198.46259887666</v>
      </c>
      <c r="R184" s="7" t="n">
        <f aca="false">Q184+R183</f>
        <v>1551.4194816736</v>
      </c>
      <c r="S184" s="7" t="n">
        <f aca="false">R184+S183</f>
        <v>1957.20020363832</v>
      </c>
      <c r="T184" s="7" t="n">
        <f aca="false">S184+T183</f>
        <v>2420.63631078182</v>
      </c>
      <c r="U184" s="7" t="n">
        <f aca="false">T184+U183</f>
        <v>2947.07124713225</v>
      </c>
      <c r="V184" s="7" t="n">
        <f aca="false">U184+V183</f>
        <v>3542.40961756406</v>
      </c>
      <c r="W184" s="7" t="n">
        <f aca="false">V184+W183</f>
        <v>4213.17150409463</v>
      </c>
      <c r="X184" s="7" t="n">
        <f aca="false">W184+X183</f>
        <v>4966.55233529119</v>
      </c>
      <c r="Y184" s="7" t="n">
        <f aca="false">X184+Y183</f>
        <v>5810.48885762949</v>
      </c>
      <c r="Z184" s="7" t="n">
        <f aca="false">Y184+Z183</f>
        <v>6753.73181219236</v>
      </c>
      <c r="AA184" s="7" t="n">
        <f aca="false">Z184+AA183</f>
        <v>7805.92598038052</v>
      </c>
      <c r="AB184" s="7" t="n">
        <f aca="false">AA184+AB183</f>
        <v>8977.69832880409</v>
      </c>
      <c r="AC184" s="7" t="n">
        <f aca="false">AB184+AC183</f>
        <v>10280.7550567827</v>
      </c>
      <c r="AD184" s="7" t="n">
        <f aca="false">AC184+AD183</f>
        <v>11727.9884305356</v>
      </c>
      <c r="AE184" s="7" t="n">
        <f aca="false">AD184+AE183</f>
        <v>13333.5943768972</v>
      </c>
      <c r="AF184" s="7" t="n">
        <f aca="false">AE184+AF183</f>
        <v>15113.2019070382</v>
      </c>
      <c r="AG184" s="7" t="n">
        <f aca="false">AF184+AG183</f>
        <v>17084.0155480801</v>
      </c>
      <c r="AH184" s="7" t="n">
        <f aca="false">AG184+AH183</f>
        <v>19264.9720786342</v>
      </c>
      <c r="AI184" s="7" t="n">
        <f aca="false">AH184+AI183</f>
        <v>21676.9129942357</v>
      </c>
      <c r="AJ184" s="7" t="n">
        <f aca="false">AI184+AJ183</f>
        <v>24342.7742715624</v>
      </c>
      <c r="AK184" s="7" t="n">
        <f aca="false">AJ184+AK183</f>
        <v>27287.7951575194</v>
      </c>
      <c r="AL184" s="7" t="n">
        <f aca="false">AK184+AL183</f>
        <v>30539.7478821604</v>
      </c>
      <c r="AM184" s="7" t="n">
        <f aca="false">AL184+AM183</f>
        <v>34129.1903845783</v>
      </c>
      <c r="AN184" s="7" t="n">
        <f aca="false">AM184+AN183</f>
        <v>38089.7443500545</v>
      </c>
      <c r="AO184" s="7" t="n">
        <f aca="false">AN184+AO183</f>
        <v>42458.4010868112</v>
      </c>
      <c r="AP184" s="7" t="n">
        <f aca="false">AO184+AP183</f>
        <v>47275.8580237585</v>
      </c>
      <c r="AQ184" s="7" t="n">
        <f aca="false">AP184+AQ183</f>
        <v>52586.8888889554</v>
      </c>
      <c r="AR184" s="7" t="n">
        <f aca="false">AQ184+AR183</f>
        <v>58440.7509346599</v>
      </c>
      <c r="AS184" s="7" t="n">
        <f aca="false">AR184+AS183</f>
        <v>64891.6329115931</v>
      </c>
      <c r="AT184" s="7" t="n">
        <f aca="false">AS184+AT183</f>
        <v>71999.1478654562</v>
      </c>
      <c r="AU184" s="7" t="n">
        <f aca="false">AT184+AU183</f>
        <v>79828.875236187</v>
      </c>
      <c r="AV184" s="7" t="n">
        <f aca="false">AU184+AV183</f>
        <v>88452.957188617</v>
      </c>
      <c r="AW184" s="7" t="n">
        <f aca="false">AV184+AW183</f>
        <v>97950.7545961776</v>
      </c>
      <c r="AX184" s="7" t="n">
        <f aca="false">AW184+AX183</f>
        <v>108406.192488656</v>
      </c>
      <c r="AY184" s="7" t="n">
        <f aca="false">AX184+AY183</f>
        <v>119764.645231325</v>
      </c>
      <c r="AZ184" s="7" t="n">
        <f aca="false">AY184+AZ183</f>
        <v>131971.408915291</v>
      </c>
      <c r="BA184" s="7" t="n">
        <f aca="false">AZ184+BA183</f>
        <v>144974.96651385</v>
      </c>
      <c r="BB184" s="7" t="n">
        <f aca="false">BA184+BB183</f>
        <v>158726.898516638</v>
      </c>
      <c r="BC184" s="7" t="n">
        <f aca="false">BB184+BC183</f>
        <v>173181.759505663</v>
      </c>
      <c r="BD184" s="7" t="n">
        <f aca="false">BC184+BD183</f>
        <v>188296.935443</v>
      </c>
      <c r="BE184" s="7" t="n">
        <f aca="false">BD184+BE183</f>
        <v>204032.491650235</v>
      </c>
      <c r="BF184" s="7" t="n">
        <f aca="false">BE184+BF183</f>
        <v>220351.018136376</v>
      </c>
      <c r="BG184" s="7" t="n">
        <f aca="false">BF184+BG183</f>
        <v>237217.476631547</v>
      </c>
      <c r="BH184" s="7" t="n">
        <f aca="false">BG184+BH183</f>
        <v>254599.052098914</v>
      </c>
      <c r="BI184" s="7" t="n">
        <f aca="false">BH184+BI183</f>
        <v>272465.010410431</v>
      </c>
      <c r="BJ184" s="7" t="n">
        <f aca="false">BI184+BJ183</f>
        <v>290786.563131939</v>
      </c>
      <c r="BK184" s="7" t="n">
        <f aca="false">BJ184+BK183</f>
        <v>309536.739864053</v>
      </c>
    </row>
    <row r="185" customFormat="false" ht="15" hidden="false" customHeight="false" outlineLevel="0" collapsed="false">
      <c r="A185" s="0" t="s">
        <v>225</v>
      </c>
      <c r="D185" s="11" t="n">
        <f aca="false">IF(D146&gt;0,(D179+D180)/D146,0)</f>
        <v>0</v>
      </c>
      <c r="E185" s="11" t="n">
        <f aca="false">IF(E146&gt;0,(E179+E180)/E146,0)</f>
        <v>0</v>
      </c>
      <c r="F185" s="11" t="n">
        <f aca="false">IF(F146&gt;0,(F179+F180)/F146,0)</f>
        <v>0</v>
      </c>
      <c r="G185" s="11" t="n">
        <f aca="false">IF(G146&gt;0,(G179+G180)/G146,0)</f>
        <v>0</v>
      </c>
      <c r="H185" s="11" t="n">
        <f aca="false">IF(H146&gt;0,(H179+H180)/H146,0)</f>
        <v>0</v>
      </c>
      <c r="I185" s="11" t="n">
        <f aca="false">IF(I146&gt;0,(I179+I180)/I146,0)</f>
        <v>0</v>
      </c>
      <c r="J185" s="11" t="n">
        <f aca="false">IF(J146&gt;0,(J179+J180)/J146,0)</f>
        <v>0</v>
      </c>
      <c r="K185" s="11" t="n">
        <f aca="false">IF(K146&gt;0,(K179+K180)/K146,0)</f>
        <v>0</v>
      </c>
      <c r="L185" s="11" t="n">
        <f aca="false">IF(L146&gt;0,(L179+L180)/L146,0)</f>
        <v>0</v>
      </c>
      <c r="M185" s="11" t="n">
        <f aca="false">IF(M146&gt;0,(M179+M180)/M146,0)</f>
        <v>0</v>
      </c>
      <c r="N185" s="11" t="n">
        <f aca="false">IF(N146&gt;0,(N179+N180)/N146,0)</f>
        <v>0</v>
      </c>
      <c r="O185" s="11" t="n">
        <f aca="false">IF(O146&gt;0,(O179+O180)/O146,0)</f>
        <v>0</v>
      </c>
      <c r="P185" s="11" t="n">
        <f aca="false">IF(P146&gt;0,(P179+P180)/P146,0)</f>
        <v>0</v>
      </c>
      <c r="Q185" s="11" t="n">
        <f aca="false">IF(Q146&gt;0,(Q179+Q180)/Q146,0)</f>
        <v>0</v>
      </c>
      <c r="R185" s="11" t="n">
        <f aca="false">IF(R146&gt;0,(R179+R180)/R146,0)</f>
        <v>0</v>
      </c>
      <c r="S185" s="11" t="n">
        <f aca="false">IF(S146&gt;0,(S179+S180)/S146,0)</f>
        <v>0</v>
      </c>
      <c r="T185" s="11" t="n">
        <f aca="false">IF(T146&gt;0,(T179+T180)/T146,0)</f>
        <v>0</v>
      </c>
      <c r="U185" s="11" t="n">
        <f aca="false">IF(U146&gt;0,(U179+U180)/U146,0)</f>
        <v>0</v>
      </c>
      <c r="V185" s="11" t="n">
        <f aca="false">IF(V146&gt;0,(V179+V180)/V146,0)</f>
        <v>0</v>
      </c>
      <c r="W185" s="11" t="n">
        <f aca="false">IF(W146&gt;0,(W179+W180)/W146,0)</f>
        <v>0</v>
      </c>
      <c r="X185" s="11" t="n">
        <f aca="false">IF(X146&gt;0,(X179+X180)/X146,0)</f>
        <v>0</v>
      </c>
      <c r="Y185" s="11" t="n">
        <f aca="false">IF(Y146&gt;0,(Y179+Y180)/Y146,0)</f>
        <v>0</v>
      </c>
      <c r="Z185" s="11" t="n">
        <f aca="false">IF(Z146&gt;0,(Z179+Z180)/Z146,0)</f>
        <v>0</v>
      </c>
      <c r="AA185" s="11" t="n">
        <f aca="false">IF(AA146&gt;0,(AA179+AA180)/AA146,0)</f>
        <v>0</v>
      </c>
      <c r="AB185" s="11" t="n">
        <f aca="false">IF(AB146&gt;0,(AB179+AB180)/AB146,0)</f>
        <v>0</v>
      </c>
      <c r="AC185" s="11" t="n">
        <f aca="false">IF(AC146&gt;0,(AC179+AC180)/AC146,0)</f>
        <v>0</v>
      </c>
      <c r="AD185" s="11" t="n">
        <f aca="false">IF(AD146&gt;0,(AD179+AD180)/AD146,0)</f>
        <v>0</v>
      </c>
      <c r="AE185" s="11" t="n">
        <f aca="false">IF(AE146&gt;0,(AE179+AE180)/AE146,0)</f>
        <v>0</v>
      </c>
      <c r="AF185" s="11" t="n">
        <f aca="false">IF(AF146&gt;0,(AF179+AF180)/AF146,0)</f>
        <v>0</v>
      </c>
      <c r="AG185" s="11" t="n">
        <f aca="false">IF(AG146&gt;0,(AG179+AG180)/AG146,0)</f>
        <v>0</v>
      </c>
      <c r="AH185" s="11" t="n">
        <f aca="false">IF(AH146&gt;0,(AH179+AH180)/AH146,0)</f>
        <v>0</v>
      </c>
      <c r="AI185" s="11" t="n">
        <f aca="false">IF(AI146&gt;0,(AI179+AI180)/AI146,0)</f>
        <v>0</v>
      </c>
      <c r="AJ185" s="11" t="n">
        <f aca="false">IF(AJ146&gt;0,(AJ179+AJ180)/AJ146,0)</f>
        <v>0</v>
      </c>
      <c r="AK185" s="11" t="n">
        <f aca="false">IF(AK146&gt;0,(AK179+AK180)/AK146,0)</f>
        <v>0</v>
      </c>
      <c r="AL185" s="11" t="n">
        <f aca="false">IF(AL146&gt;0,(AL179+AL180)/AL146,0)</f>
        <v>0</v>
      </c>
      <c r="AM185" s="11" t="n">
        <f aca="false">IF(AM146&gt;0,(AM179+AM180)/AM146,0)</f>
        <v>0</v>
      </c>
      <c r="AN185" s="11" t="n">
        <f aca="false">IF(AN146&gt;0,(AN179+AN180)/AN146,0)</f>
        <v>0</v>
      </c>
      <c r="AO185" s="11" t="n">
        <f aca="false">IF(AO146&gt;0,(AO179+AO180)/AO146,0)</f>
        <v>0</v>
      </c>
      <c r="AP185" s="11" t="n">
        <f aca="false">IF(AP146&gt;0,(AP179+AP180)/AP146,0)</f>
        <v>0</v>
      </c>
      <c r="AQ185" s="11" t="n">
        <f aca="false">IF(AQ146&gt;0,(AQ179+AQ180)/AQ146,0)</f>
        <v>0</v>
      </c>
      <c r="AR185" s="11" t="n">
        <f aca="false">IF(AR146&gt;0,(AR179+AR180)/AR146,0)</f>
        <v>0</v>
      </c>
      <c r="AS185" s="11" t="n">
        <f aca="false">IF(AS146&gt;0,(AS179+AS180)/AS146,0)</f>
        <v>0</v>
      </c>
      <c r="AT185" s="11" t="n">
        <f aca="false">IF(AT146&gt;0,(AT179+AT180)/AT146,0)</f>
        <v>0</v>
      </c>
      <c r="AU185" s="11" t="n">
        <f aca="false">IF(AU146&gt;0,(AU179+AU180)/AU146,0)</f>
        <v>0</v>
      </c>
      <c r="AV185" s="11" t="n">
        <f aca="false">IF(AV146&gt;0,(AV179+AV180)/AV146,0)</f>
        <v>0</v>
      </c>
      <c r="AW185" s="11" t="n">
        <f aca="false">IF(AW146&gt;0,(AW179+AW180)/AW146,0)</f>
        <v>0</v>
      </c>
      <c r="AX185" s="11" t="n">
        <f aca="false">IF(AX146&gt;0,(AX179+AX180)/AX146,0)</f>
        <v>0</v>
      </c>
      <c r="AY185" s="11" t="n">
        <f aca="false">IF(AY146&gt;0,(AY179+AY180)/AY146,0)</f>
        <v>0</v>
      </c>
      <c r="AZ185" s="11" t="n">
        <f aca="false">IF(AZ146&gt;0,(AZ179+AZ180)/AZ146,0)</f>
        <v>0</v>
      </c>
      <c r="BA185" s="11" t="n">
        <f aca="false">IF(BA146&gt;0,(BA179+BA180)/BA146,0)</f>
        <v>0</v>
      </c>
      <c r="BB185" s="11" t="n">
        <f aca="false">IF(BB146&gt;0,(BB179+BB180)/BB146,0)</f>
        <v>0</v>
      </c>
      <c r="BC185" s="11" t="n">
        <f aca="false">IF(BC146&gt;0,(BC179+BC180)/BC146,0)</f>
        <v>0</v>
      </c>
      <c r="BD185" s="11" t="n">
        <f aca="false">IF(BD146&gt;0,(BD179+BD180)/BD146,0)</f>
        <v>0</v>
      </c>
      <c r="BE185" s="11" t="n">
        <f aca="false">IF(BE146&gt;0,(BE179+BE180)/BE146,0)</f>
        <v>0</v>
      </c>
      <c r="BF185" s="11" t="n">
        <f aca="false">IF(BF146&gt;0,(BF179+BF180)/BF146,0)</f>
        <v>0</v>
      </c>
      <c r="BG185" s="11" t="n">
        <f aca="false">IF(BG146&gt;0,(BG179+BG180)/BG146,0)</f>
        <v>0</v>
      </c>
      <c r="BH185" s="11" t="n">
        <f aca="false">IF(BH146&gt;0,(BH179+BH180)/BH146,0)</f>
        <v>0</v>
      </c>
      <c r="BI185" s="11" t="n">
        <f aca="false">IF(BI146&gt;0,(BI179+BI180)/BI146,0)</f>
        <v>0</v>
      </c>
      <c r="BJ185" s="11" t="n">
        <f aca="false">IF(BJ146&gt;0,(BJ179+BJ180)/BJ146,0)</f>
        <v>0</v>
      </c>
      <c r="BK185" s="11" t="n">
        <f aca="false">IF(BK146&gt;0,(BK179+BK180)/BK146,0)</f>
        <v>0</v>
      </c>
    </row>
    <row r="186" customFormat="false" ht="15" hidden="false" customHeight="false" outlineLevel="0" collapsed="false">
      <c r="A186" s="0" t="s">
        <v>226</v>
      </c>
      <c r="D186" s="11" t="n">
        <f aca="false">IF(D153&gt;0,D156/D153,0)</f>
        <v>37.4748</v>
      </c>
      <c r="E186" s="11" t="n">
        <f aca="false">IF(E153&gt;0,E156/E153,0)</f>
        <v>37.6618</v>
      </c>
      <c r="F186" s="11" t="n">
        <f aca="false">IF(F153&gt;0,F156/F153,0)</f>
        <v>37.8385022921807</v>
      </c>
      <c r="G186" s="11" t="n">
        <f aca="false">IF(G153&gt;0,G156/G153,0)</f>
        <v>38.0048880703609</v>
      </c>
      <c r="H186" s="11" t="n">
        <f aca="false">IF(H153&gt;0,H156/H153,0)</f>
        <v>38.1610152116549</v>
      </c>
      <c r="I186" s="11" t="n">
        <f aca="false">IF(I153&gt;0,I156/I153,0)</f>
        <v>38.307013786404</v>
      </c>
      <c r="J186" s="11" t="n">
        <f aca="false">IF(J153&gt;0,J156/J153,0)</f>
        <v>38.4430803359514</v>
      </c>
      <c r="K186" s="11" t="n">
        <f aca="false">IF(K153&gt;0,K156/K153,0)</f>
        <v>38.5694711617475</v>
      </c>
      <c r="L186" s="11" t="n">
        <f aca="false">IF(L153&gt;0,L156/L153,0)</f>
        <v>38.6864948892148</v>
      </c>
      <c r="M186" s="11" t="n">
        <f aca="false">IF(M153&gt;0,M156/M153,0)</f>
        <v>38.7945045750669</v>
      </c>
      <c r="N186" s="11" t="n">
        <f aca="false">IF(N153&gt;0,N156/N153,0)</f>
        <v>38.893889618551</v>
      </c>
      <c r="O186" s="11" t="n">
        <f aca="false">IF(O153&gt;0,O156/O153,0)</f>
        <v>38.9850677173646</v>
      </c>
      <c r="P186" s="11" t="n">
        <f aca="false">IF(P153&gt;0,P156/P153,0)</f>
        <v>39.0684770803787</v>
      </c>
      <c r="Q186" s="11" t="n">
        <f aca="false">IF(Q153&gt;0,Q156/Q153,0)</f>
        <v>39.1445690746111</v>
      </c>
      <c r="R186" s="11" t="n">
        <f aca="false">IF(R153&gt;0,R156/R153,0)</f>
        <v>39.2138014459766</v>
      </c>
      <c r="S186" s="11" t="n">
        <f aca="false">IF(S153&gt;0,S156/S153,0)</f>
        <v>39.2766322147676</v>
      </c>
      <c r="T186" s="11" t="n">
        <f aca="false">IF(T153&gt;0,T156/T153,0)</f>
        <v>39.3335143097952</v>
      </c>
      <c r="U186" s="11" t="n">
        <f aca="false">IF(U153&gt;0,U156/U153,0)</f>
        <v>39.3848909713241</v>
      </c>
      <c r="V186" s="11" t="n">
        <f aca="false">IF(V153&gt;0,V156/V153,0)</f>
        <v>39.4311919235436</v>
      </c>
      <c r="W186" s="11" t="n">
        <f aca="false">IF(W153&gt;0,W156/W153,0)</f>
        <v>39.4728302929907</v>
      </c>
      <c r="X186" s="11" t="n">
        <f aca="false">IF(X153&gt;0,X156/X153,0)</f>
        <v>39.5102002303093</v>
      </c>
      <c r="Y186" s="11" t="n">
        <f aca="false">IF(Y153&gt;0,Y156/Y153,0)</f>
        <v>39.5436751788569</v>
      </c>
      <c r="Z186" s="11" t="n">
        <f aca="false">IF(Z153&gt;0,Z156/Z153,0)</f>
        <v>39.5736067245534</v>
      </c>
      <c r="AA186" s="11" t="n">
        <f aca="false">IF(AA153&gt;0,AA156/AA153,0)</f>
        <v>39.6003239564362</v>
      </c>
      <c r="AB186" s="11" t="n">
        <f aca="false">IF(AB153&gt;0,AB156/AB153,0)</f>
        <v>39.624133265961</v>
      </c>
      <c r="AC186" s="11" t="n">
        <f aca="false">IF(AC153&gt;0,AC156/AC153,0)</f>
        <v>39.6453185144698</v>
      </c>
      <c r="AD186" s="11" t="n">
        <f aca="false">IF(AD153&gt;0,AD156/AD153,0)</f>
        <v>39.6641415017548</v>
      </c>
      <c r="AE186" s="11" t="n">
        <f aca="false">IF(AE153&gt;0,AE156/AE153,0)</f>
        <v>39.6808426736619</v>
      </c>
      <c r="AF186" s="11" t="n">
        <f aca="false">IF(AF153&gt;0,AF156/AF153,0)</f>
        <v>39.6956420126364</v>
      </c>
      <c r="AG186" s="11" t="n">
        <f aca="false">IF(AG153&gt;0,AG156/AG153,0)</f>
        <v>39.7087400615911</v>
      </c>
      <c r="AH186" s="11" t="n">
        <f aca="false">IF(AH153&gt;0,AH156/AH153,0)</f>
        <v>39.7203190380765</v>
      </c>
      <c r="AI186" s="11" t="n">
        <f aca="false">IF(AI153&gt;0,AI156/AI153,0)</f>
        <v>39.7305440021986</v>
      </c>
      <c r="AJ186" s="11" t="n">
        <f aca="false">IF(AJ153&gt;0,AJ156/AJ153,0)</f>
        <v>39.7395640478499</v>
      </c>
      <c r="AK186" s="11" t="n">
        <f aca="false">IF(AK153&gt;0,AK156/AK153,0)</f>
        <v>39.7475134924608</v>
      </c>
      <c r="AL186" s="11" t="n">
        <f aca="false">IF(AL153&gt;0,AL156/AL153,0)</f>
        <v>39.7545130455615</v>
      </c>
      <c r="AM186" s="11" t="n">
        <f aca="false">IF(AM153&gt;0,AM156/AM153,0)</f>
        <v>39.760670940932</v>
      </c>
      <c r="AN186" s="11" t="n">
        <f aca="false">IF(AN153&gt;0,AN156/AN153,0)</f>
        <v>39.7660840210099</v>
      </c>
      <c r="AO186" s="11" t="n">
        <f aca="false">IF(AO153&gt;0,AO156/AO153,0)</f>
        <v>39.7708387655339</v>
      </c>
      <c r="AP186" s="11" t="n">
        <f aca="false">IF(AP153&gt;0,AP156/AP153,0)</f>
        <v>39.7750122591765</v>
      </c>
      <c r="AQ186" s="11" t="n">
        <f aca="false">IF(AQ153&gt;0,AQ156/AQ153,0)</f>
        <v>39.7786730951945</v>
      </c>
      <c r="AR186" s="11" t="n">
        <f aca="false">IF(AR153&gt;0,AR156/AR153,0)</f>
        <v>39.7818822139631</v>
      </c>
      <c r="AS186" s="11" t="n">
        <f aca="false">IF(AS153&gt;0,AS156/AS153,0)</f>
        <v>39.7846936767125</v>
      </c>
      <c r="AT186" s="11" t="n">
        <f aca="false">IF(AT153&gt;0,AT156/AT153,0)</f>
        <v>39.7871553758995</v>
      </c>
      <c r="AU186" s="11" t="n">
        <f aca="false">IF(AU153&gt;0,AU156/AU153,0)</f>
        <v>39.7893096844826</v>
      </c>
      <c r="AV186" s="11" t="n">
        <f aca="false">IF(AV153&gt;0,AV156/AV153,0)</f>
        <v>39.7911940469652</v>
      </c>
      <c r="AW186" s="11" t="n">
        <f aca="false">IF(AW153&gt;0,AW156/AW153,0)</f>
        <v>39.792841515473</v>
      </c>
      <c r="AX186" s="11" t="n">
        <f aca="false">IF(AX153&gt;0,AX156/AX153,0)</f>
        <v>39.7950999075181</v>
      </c>
      <c r="AY186" s="11" t="n">
        <f aca="false">IF(AY153&gt;0,AY156/AY153,0)</f>
        <v>39.8306168209449</v>
      </c>
      <c r="AZ186" s="11" t="n">
        <f aca="false">IF(AZ153&gt;0,AZ156/AZ153,0)</f>
        <v>39.8884171762996</v>
      </c>
      <c r="BA186" s="11" t="n">
        <f aca="false">IF(BA153&gt;0,BA156/BA153,0)</f>
        <v>39.9614406197021</v>
      </c>
      <c r="BB186" s="11" t="n">
        <f aca="false">IF(BB153&gt;0,BB156/BB153,0)</f>
        <v>40.0449421718576</v>
      </c>
      <c r="BC186" s="11" t="n">
        <f aca="false">IF(BC153&gt;0,BC156/BC153,0)</f>
        <v>40.1356189158056</v>
      </c>
      <c r="BD186" s="11" t="n">
        <f aca="false">IF(BD153&gt;0,BD156/BD153,0)</f>
        <v>40.2311051616113</v>
      </c>
      <c r="BE186" s="11" t="n">
        <f aca="false">IF(BE153&gt;0,BE156/BE153,0)</f>
        <v>40.3296665451212</v>
      </c>
      <c r="BF186" s="11" t="n">
        <f aca="false">IF(BF153&gt;0,BF156/BF153,0)</f>
        <v>40.4300071721125</v>
      </c>
      <c r="BG186" s="11" t="n">
        <f aca="false">IF(BG153&gt;0,BG156/BG153,0)</f>
        <v>40.531143836381</v>
      </c>
      <c r="BH186" s="11" t="n">
        <f aca="false">IF(BH153&gt;0,BH156/BH153,0)</f>
        <v>40.6323215333438</v>
      </c>
      <c r="BI186" s="11" t="n">
        <f aca="false">IF(BI153&gt;0,BI156/BI153,0)</f>
        <v>40.7329552250919</v>
      </c>
      <c r="BJ186" s="11" t="n">
        <f aca="false">IF(BJ153&gt;0,BJ156/BJ153,0)</f>
        <v>40.832588767763</v>
      </c>
      <c r="BK186" s="11" t="n">
        <f aca="false">IF(BK153&gt;0,BK156/BK153,0)</f>
        <v>40.9308653405742</v>
      </c>
    </row>
    <row r="187" customFormat="false" ht="15" hidden="false" customHeight="false" outlineLevel="0" collapsed="false">
      <c r="A187" s="0" t="s">
        <v>227</v>
      </c>
      <c r="D187" s="50" t="n">
        <f aca="false">IF(D156&gt;=1000,1,0)</f>
        <v>0</v>
      </c>
      <c r="E187" s="50" t="n">
        <f aca="false">IF(E156&gt;=1000,1,0)</f>
        <v>0</v>
      </c>
      <c r="F187" s="50" t="n">
        <f aca="false">IF(F156&gt;=1000,1,0)</f>
        <v>0</v>
      </c>
      <c r="G187" s="50" t="n">
        <f aca="false">IF(G156&gt;=1000,1,0)</f>
        <v>0</v>
      </c>
      <c r="H187" s="50" t="n">
        <f aca="false">IF(H156&gt;=1000,1,0)</f>
        <v>0</v>
      </c>
      <c r="I187" s="50" t="n">
        <f aca="false">IF(I156&gt;=1000,1,0)</f>
        <v>0</v>
      </c>
      <c r="J187" s="50" t="n">
        <f aca="false">IF(J156&gt;=1000,1,0)</f>
        <v>0</v>
      </c>
      <c r="K187" s="50" t="n">
        <f aca="false">IF(K156&gt;=1000,1,0)</f>
        <v>0</v>
      </c>
      <c r="L187" s="50" t="n">
        <f aca="false">IF(L156&gt;=1000,1,0)</f>
        <v>0</v>
      </c>
      <c r="M187" s="50" t="n">
        <f aca="false">IF(M156&gt;=1000,1,0)</f>
        <v>0</v>
      </c>
      <c r="N187" s="50" t="n">
        <f aca="false">IF(N156&gt;=1000,1,0)</f>
        <v>0</v>
      </c>
      <c r="O187" s="50" t="n">
        <f aca="false">IF(O156&gt;=1000,1,0)</f>
        <v>0</v>
      </c>
      <c r="P187" s="50" t="n">
        <f aca="false">IF(P156&gt;=1000,1,0)</f>
        <v>0</v>
      </c>
      <c r="Q187" s="50" t="n">
        <f aca="false">IF(Q156&gt;=1000,1,0)</f>
        <v>0</v>
      </c>
      <c r="R187" s="50" t="n">
        <f aca="false">IF(R156&gt;=1000,1,0)</f>
        <v>0</v>
      </c>
      <c r="S187" s="50" t="n">
        <f aca="false">IF(S156&gt;=1000,1,0)</f>
        <v>0</v>
      </c>
      <c r="T187" s="50" t="n">
        <f aca="false">IF(T156&gt;=1000,1,0)</f>
        <v>0</v>
      </c>
      <c r="U187" s="50" t="n">
        <f aca="false">IF(U156&gt;=1000,1,0)</f>
        <v>0</v>
      </c>
      <c r="V187" s="50" t="n">
        <f aca="false">IF(V156&gt;=1000,1,0)</f>
        <v>0</v>
      </c>
      <c r="W187" s="50" t="n">
        <f aca="false">IF(W156&gt;=1000,1,0)</f>
        <v>0</v>
      </c>
      <c r="X187" s="50" t="n">
        <f aca="false">IF(X156&gt;=1000,1,0)</f>
        <v>1</v>
      </c>
      <c r="Y187" s="50" t="n">
        <f aca="false">IF(Y156&gt;=1000,1,0)</f>
        <v>1</v>
      </c>
      <c r="Z187" s="50" t="n">
        <f aca="false">IF(Z156&gt;=1000,1,0)</f>
        <v>1</v>
      </c>
      <c r="AA187" s="50" t="n">
        <f aca="false">IF(AA156&gt;=1000,1,0)</f>
        <v>1</v>
      </c>
      <c r="AB187" s="50" t="n">
        <f aca="false">IF(AB156&gt;=1000,1,0)</f>
        <v>1</v>
      </c>
      <c r="AC187" s="50" t="n">
        <f aca="false">IF(AC156&gt;=1000,1,0)</f>
        <v>1</v>
      </c>
      <c r="AD187" s="50" t="n">
        <f aca="false">IF(AD156&gt;=1000,1,0)</f>
        <v>1</v>
      </c>
      <c r="AE187" s="50" t="n">
        <f aca="false">IF(AE156&gt;=1000,1,0)</f>
        <v>1</v>
      </c>
      <c r="AF187" s="50" t="n">
        <f aca="false">IF(AF156&gt;=1000,1,0)</f>
        <v>1</v>
      </c>
      <c r="AG187" s="50" t="n">
        <f aca="false">IF(AG156&gt;=1000,1,0)</f>
        <v>1</v>
      </c>
      <c r="AH187" s="50" t="n">
        <f aca="false">IF(AH156&gt;=1000,1,0)</f>
        <v>1</v>
      </c>
      <c r="AI187" s="50" t="n">
        <f aca="false">IF(AI156&gt;=1000,1,0)</f>
        <v>1</v>
      </c>
      <c r="AJ187" s="50" t="n">
        <f aca="false">IF(AJ156&gt;=1000,1,0)</f>
        <v>1</v>
      </c>
      <c r="AK187" s="50" t="n">
        <f aca="false">IF(AK156&gt;=1000,1,0)</f>
        <v>1</v>
      </c>
      <c r="AL187" s="50" t="n">
        <f aca="false">IF(AL156&gt;=1000,1,0)</f>
        <v>1</v>
      </c>
      <c r="AM187" s="50" t="n">
        <f aca="false">IF(AM156&gt;=1000,1,0)</f>
        <v>1</v>
      </c>
      <c r="AN187" s="50" t="n">
        <f aca="false">IF(AN156&gt;=1000,1,0)</f>
        <v>1</v>
      </c>
      <c r="AO187" s="50" t="n">
        <f aca="false">IF(AO156&gt;=1000,1,0)</f>
        <v>1</v>
      </c>
      <c r="AP187" s="50" t="n">
        <f aca="false">IF(AP156&gt;=1000,1,0)</f>
        <v>1</v>
      </c>
      <c r="AQ187" s="50" t="n">
        <f aca="false">IF(AQ156&gt;=1000,1,0)</f>
        <v>1</v>
      </c>
      <c r="AR187" s="50" t="n">
        <f aca="false">IF(AR156&gt;=1000,1,0)</f>
        <v>1</v>
      </c>
      <c r="AS187" s="50" t="n">
        <f aca="false">IF(AS156&gt;=1000,1,0)</f>
        <v>1</v>
      </c>
      <c r="AT187" s="50" t="n">
        <f aca="false">IF(AT156&gt;=1000,1,0)</f>
        <v>1</v>
      </c>
      <c r="AU187" s="50" t="n">
        <f aca="false">IF(AU156&gt;=1000,1,0)</f>
        <v>1</v>
      </c>
      <c r="AV187" s="50" t="n">
        <f aca="false">IF(AV156&gt;=1000,1,0)</f>
        <v>1</v>
      </c>
      <c r="AW187" s="50" t="n">
        <f aca="false">IF(AW156&gt;=1000,1,0)</f>
        <v>1</v>
      </c>
      <c r="AX187" s="50" t="n">
        <f aca="false">IF(AX156&gt;=1000,1,0)</f>
        <v>1</v>
      </c>
      <c r="AY187" s="50" t="n">
        <f aca="false">IF(AY156&gt;=1000,1,0)</f>
        <v>1</v>
      </c>
      <c r="AZ187" s="50" t="n">
        <f aca="false">IF(AZ156&gt;=1000,1,0)</f>
        <v>1</v>
      </c>
      <c r="BA187" s="50" t="n">
        <f aca="false">IF(BA156&gt;=1000,1,0)</f>
        <v>1</v>
      </c>
      <c r="BB187" s="50" t="n">
        <f aca="false">IF(BB156&gt;=1000,1,0)</f>
        <v>1</v>
      </c>
      <c r="BC187" s="50" t="n">
        <f aca="false">IF(BC156&gt;=1000,1,0)</f>
        <v>1</v>
      </c>
      <c r="BD187" s="50" t="n">
        <f aca="false">IF(BD156&gt;=1000,1,0)</f>
        <v>1</v>
      </c>
      <c r="BE187" s="50" t="n">
        <f aca="false">IF(BE156&gt;=1000,1,0)</f>
        <v>1</v>
      </c>
      <c r="BF187" s="50" t="n">
        <f aca="false">IF(BF156&gt;=1000,1,0)</f>
        <v>1</v>
      </c>
      <c r="BG187" s="50" t="n">
        <f aca="false">IF(BG156&gt;=1000,1,0)</f>
        <v>1</v>
      </c>
      <c r="BH187" s="50" t="n">
        <f aca="false">IF(BH156&gt;=1000,1,0)</f>
        <v>1</v>
      </c>
      <c r="BI187" s="50" t="n">
        <f aca="false">IF(BI156&gt;=1000,1,0)</f>
        <v>1</v>
      </c>
      <c r="BJ187" s="50" t="n">
        <f aca="false">IF(BJ156&gt;=1000,1,0)</f>
        <v>1</v>
      </c>
      <c r="BK187" s="50" t="n">
        <f aca="false">IF(BK156&gt;=1000,1,0)</f>
        <v>1</v>
      </c>
    </row>
    <row r="188" customFormat="false" ht="15" hidden="false" customHeight="false" outlineLevel="0" collapsed="false">
      <c r="A188" s="0" t="s">
        <v>228</v>
      </c>
      <c r="D188" s="50" t="n">
        <f aca="false">IF(D156&gt;=10000,1,0)</f>
        <v>0</v>
      </c>
      <c r="E188" s="50" t="n">
        <f aca="false">IF(E156&gt;=10000,1,0)</f>
        <v>0</v>
      </c>
      <c r="F188" s="50" t="n">
        <f aca="false">IF(F156&gt;=10000,1,0)</f>
        <v>0</v>
      </c>
      <c r="G188" s="50" t="n">
        <f aca="false">IF(G156&gt;=10000,1,0)</f>
        <v>0</v>
      </c>
      <c r="H188" s="50" t="n">
        <f aca="false">IF(H156&gt;=10000,1,0)</f>
        <v>0</v>
      </c>
      <c r="I188" s="50" t="n">
        <f aca="false">IF(I156&gt;=10000,1,0)</f>
        <v>0</v>
      </c>
      <c r="J188" s="50" t="n">
        <f aca="false">IF(J156&gt;=10000,1,0)</f>
        <v>0</v>
      </c>
      <c r="K188" s="50" t="n">
        <f aca="false">IF(K156&gt;=10000,1,0)</f>
        <v>0</v>
      </c>
      <c r="L188" s="50" t="n">
        <f aca="false">IF(L156&gt;=10000,1,0)</f>
        <v>0</v>
      </c>
      <c r="M188" s="50" t="n">
        <f aca="false">IF(M156&gt;=10000,1,0)</f>
        <v>0</v>
      </c>
      <c r="N188" s="50" t="n">
        <f aca="false">IF(N156&gt;=10000,1,0)</f>
        <v>0</v>
      </c>
      <c r="O188" s="50" t="n">
        <f aca="false">IF(O156&gt;=10000,1,0)</f>
        <v>0</v>
      </c>
      <c r="P188" s="50" t="n">
        <f aca="false">IF(P156&gt;=10000,1,0)</f>
        <v>0</v>
      </c>
      <c r="Q188" s="50" t="n">
        <f aca="false">IF(Q156&gt;=10000,1,0)</f>
        <v>0</v>
      </c>
      <c r="R188" s="50" t="n">
        <f aca="false">IF(R156&gt;=10000,1,0)</f>
        <v>0</v>
      </c>
      <c r="S188" s="50" t="n">
        <f aca="false">IF(S156&gt;=10000,1,0)</f>
        <v>0</v>
      </c>
      <c r="T188" s="50" t="n">
        <f aca="false">IF(T156&gt;=10000,1,0)</f>
        <v>0</v>
      </c>
      <c r="U188" s="50" t="n">
        <f aca="false">IF(U156&gt;=10000,1,0)</f>
        <v>0</v>
      </c>
      <c r="V188" s="50" t="n">
        <f aca="false">IF(V156&gt;=10000,1,0)</f>
        <v>0</v>
      </c>
      <c r="W188" s="50" t="n">
        <f aca="false">IF(W156&gt;=10000,1,0)</f>
        <v>0</v>
      </c>
      <c r="X188" s="50" t="n">
        <f aca="false">IF(X156&gt;=10000,1,0)</f>
        <v>0</v>
      </c>
      <c r="Y188" s="50" t="n">
        <f aca="false">IF(Y156&gt;=10000,1,0)</f>
        <v>0</v>
      </c>
      <c r="Z188" s="50" t="n">
        <f aca="false">IF(Z156&gt;=10000,1,0)</f>
        <v>0</v>
      </c>
      <c r="AA188" s="50" t="n">
        <f aca="false">IF(AA156&gt;=10000,1,0)</f>
        <v>0</v>
      </c>
      <c r="AB188" s="50" t="n">
        <f aca="false">IF(AB156&gt;=10000,1,0)</f>
        <v>0</v>
      </c>
      <c r="AC188" s="50" t="n">
        <f aca="false">IF(AC156&gt;=10000,1,0)</f>
        <v>0</v>
      </c>
      <c r="AD188" s="50" t="n">
        <f aca="false">IF(AD156&gt;=10000,1,0)</f>
        <v>0</v>
      </c>
      <c r="AE188" s="50" t="n">
        <f aca="false">IF(AE156&gt;=10000,1,0)</f>
        <v>0</v>
      </c>
      <c r="AF188" s="50" t="n">
        <f aca="false">IF(AF156&gt;=10000,1,0)</f>
        <v>0</v>
      </c>
      <c r="AG188" s="50" t="n">
        <f aca="false">IF(AG156&gt;=10000,1,0)</f>
        <v>0</v>
      </c>
      <c r="AH188" s="50" t="n">
        <f aca="false">IF(AH156&gt;=10000,1,0)</f>
        <v>0</v>
      </c>
      <c r="AI188" s="50" t="n">
        <f aca="false">IF(AI156&gt;=10000,1,0)</f>
        <v>0</v>
      </c>
      <c r="AJ188" s="50" t="n">
        <f aca="false">IF(AJ156&gt;=10000,1,0)</f>
        <v>0</v>
      </c>
      <c r="AK188" s="50" t="n">
        <f aca="false">IF(AK156&gt;=10000,1,0)</f>
        <v>0</v>
      </c>
      <c r="AL188" s="50" t="n">
        <f aca="false">IF(AL156&gt;=10000,1,0)</f>
        <v>0</v>
      </c>
      <c r="AM188" s="50" t="n">
        <f aca="false">IF(AM156&gt;=10000,1,0)</f>
        <v>0</v>
      </c>
      <c r="AN188" s="50" t="n">
        <f aca="false">IF(AN156&gt;=10000,1,0)</f>
        <v>0</v>
      </c>
      <c r="AO188" s="50" t="n">
        <f aca="false">IF(AO156&gt;=10000,1,0)</f>
        <v>0</v>
      </c>
      <c r="AP188" s="50" t="n">
        <f aca="false">IF(AP156&gt;=10000,1,0)</f>
        <v>0</v>
      </c>
      <c r="AQ188" s="50" t="n">
        <f aca="false">IF(AQ156&gt;=10000,1,0)</f>
        <v>0</v>
      </c>
      <c r="AR188" s="50" t="n">
        <f aca="false">IF(AR156&gt;=10000,1,0)</f>
        <v>0</v>
      </c>
      <c r="AS188" s="50" t="n">
        <f aca="false">IF(AS156&gt;=10000,1,0)</f>
        <v>0</v>
      </c>
      <c r="AT188" s="50" t="n">
        <f aca="false">IF(AT156&gt;=10000,1,0)</f>
        <v>0</v>
      </c>
      <c r="AU188" s="50" t="n">
        <f aca="false">IF(AU156&gt;=10000,1,0)</f>
        <v>1</v>
      </c>
      <c r="AV188" s="50" t="n">
        <f aca="false">IF(AV156&gt;=10000,1,0)</f>
        <v>1</v>
      </c>
      <c r="AW188" s="50" t="n">
        <f aca="false">IF(AW156&gt;=10000,1,0)</f>
        <v>1</v>
      </c>
      <c r="AX188" s="50" t="n">
        <f aca="false">IF(AX156&gt;=10000,1,0)</f>
        <v>1</v>
      </c>
      <c r="AY188" s="50" t="n">
        <f aca="false">IF(AY156&gt;=10000,1,0)</f>
        <v>1</v>
      </c>
      <c r="AZ188" s="50" t="n">
        <f aca="false">IF(AZ156&gt;=10000,1,0)</f>
        <v>1</v>
      </c>
      <c r="BA188" s="50" t="n">
        <f aca="false">IF(BA156&gt;=10000,1,0)</f>
        <v>1</v>
      </c>
      <c r="BB188" s="50" t="n">
        <f aca="false">IF(BB156&gt;=10000,1,0)</f>
        <v>1</v>
      </c>
      <c r="BC188" s="50" t="n">
        <f aca="false">IF(BC156&gt;=10000,1,0)</f>
        <v>1</v>
      </c>
      <c r="BD188" s="50" t="n">
        <f aca="false">IF(BD156&gt;=10000,1,0)</f>
        <v>1</v>
      </c>
      <c r="BE188" s="50" t="n">
        <f aca="false">IF(BE156&gt;=10000,1,0)</f>
        <v>1</v>
      </c>
      <c r="BF188" s="50" t="n">
        <f aca="false">IF(BF156&gt;=10000,1,0)</f>
        <v>1</v>
      </c>
      <c r="BG188" s="50" t="n">
        <f aca="false">IF(BG156&gt;=10000,1,0)</f>
        <v>1</v>
      </c>
      <c r="BH188" s="50" t="n">
        <f aca="false">IF(BH156&gt;=10000,1,0)</f>
        <v>1</v>
      </c>
      <c r="BI188" s="50" t="n">
        <f aca="false">IF(BI156&gt;=10000,1,0)</f>
        <v>1</v>
      </c>
      <c r="BJ188" s="50" t="n">
        <f aca="false">IF(BJ156&gt;=10000,1,0)</f>
        <v>1</v>
      </c>
      <c r="BK188" s="50" t="n">
        <f aca="false">IF(BK156&gt;=10000,1,0)</f>
        <v>1</v>
      </c>
    </row>
    <row r="189" customFormat="false" ht="15" hidden="false" customHeight="false" outlineLevel="0" collapsed="false">
      <c r="A189" s="0" t="s">
        <v>229</v>
      </c>
      <c r="D189" s="50" t="n">
        <f aca="false">IF(D156&gt;=100000,1,0)</f>
        <v>0</v>
      </c>
      <c r="E189" s="50" t="n">
        <f aca="false">IF(E156&gt;=100000,1,0)</f>
        <v>0</v>
      </c>
      <c r="F189" s="50" t="n">
        <f aca="false">IF(F156&gt;=100000,1,0)</f>
        <v>0</v>
      </c>
      <c r="G189" s="50" t="n">
        <f aca="false">IF(G156&gt;=100000,1,0)</f>
        <v>0</v>
      </c>
      <c r="H189" s="50" t="n">
        <f aca="false">IF(H156&gt;=100000,1,0)</f>
        <v>0</v>
      </c>
      <c r="I189" s="50" t="n">
        <f aca="false">IF(I156&gt;=100000,1,0)</f>
        <v>0</v>
      </c>
      <c r="J189" s="50" t="n">
        <f aca="false">IF(J156&gt;=100000,1,0)</f>
        <v>0</v>
      </c>
      <c r="K189" s="50" t="n">
        <f aca="false">IF(K156&gt;=100000,1,0)</f>
        <v>0</v>
      </c>
      <c r="L189" s="50" t="n">
        <f aca="false">IF(L156&gt;=100000,1,0)</f>
        <v>0</v>
      </c>
      <c r="M189" s="50" t="n">
        <f aca="false">IF(M156&gt;=100000,1,0)</f>
        <v>0</v>
      </c>
      <c r="N189" s="50" t="n">
        <f aca="false">IF(N156&gt;=100000,1,0)</f>
        <v>0</v>
      </c>
      <c r="O189" s="50" t="n">
        <f aca="false">IF(O156&gt;=100000,1,0)</f>
        <v>0</v>
      </c>
      <c r="P189" s="50" t="n">
        <f aca="false">IF(P156&gt;=100000,1,0)</f>
        <v>0</v>
      </c>
      <c r="Q189" s="50" t="n">
        <f aca="false">IF(Q156&gt;=100000,1,0)</f>
        <v>0</v>
      </c>
      <c r="R189" s="50" t="n">
        <f aca="false">IF(R156&gt;=100000,1,0)</f>
        <v>0</v>
      </c>
      <c r="S189" s="50" t="n">
        <f aca="false">IF(S156&gt;=100000,1,0)</f>
        <v>0</v>
      </c>
      <c r="T189" s="50" t="n">
        <f aca="false">IF(T156&gt;=100000,1,0)</f>
        <v>0</v>
      </c>
      <c r="U189" s="50" t="n">
        <f aca="false">IF(U156&gt;=100000,1,0)</f>
        <v>0</v>
      </c>
      <c r="V189" s="50" t="n">
        <f aca="false">IF(V156&gt;=100000,1,0)</f>
        <v>0</v>
      </c>
      <c r="W189" s="50" t="n">
        <f aca="false">IF(W156&gt;=100000,1,0)</f>
        <v>0</v>
      </c>
      <c r="X189" s="50" t="n">
        <f aca="false">IF(X156&gt;=100000,1,0)</f>
        <v>0</v>
      </c>
      <c r="Y189" s="50" t="n">
        <f aca="false">IF(Y156&gt;=100000,1,0)</f>
        <v>0</v>
      </c>
      <c r="Z189" s="50" t="n">
        <f aca="false">IF(Z156&gt;=100000,1,0)</f>
        <v>0</v>
      </c>
      <c r="AA189" s="50" t="n">
        <f aca="false">IF(AA156&gt;=100000,1,0)</f>
        <v>0</v>
      </c>
      <c r="AB189" s="50" t="n">
        <f aca="false">IF(AB156&gt;=100000,1,0)</f>
        <v>0</v>
      </c>
      <c r="AC189" s="50" t="n">
        <f aca="false">IF(AC156&gt;=100000,1,0)</f>
        <v>0</v>
      </c>
      <c r="AD189" s="50" t="n">
        <f aca="false">IF(AD156&gt;=100000,1,0)</f>
        <v>0</v>
      </c>
      <c r="AE189" s="50" t="n">
        <f aca="false">IF(AE156&gt;=100000,1,0)</f>
        <v>0</v>
      </c>
      <c r="AF189" s="50" t="n">
        <f aca="false">IF(AF156&gt;=100000,1,0)</f>
        <v>0</v>
      </c>
      <c r="AG189" s="50" t="n">
        <f aca="false">IF(AG156&gt;=100000,1,0)</f>
        <v>0</v>
      </c>
      <c r="AH189" s="50" t="n">
        <f aca="false">IF(AH156&gt;=100000,1,0)</f>
        <v>0</v>
      </c>
      <c r="AI189" s="50" t="n">
        <f aca="false">IF(AI156&gt;=100000,1,0)</f>
        <v>0</v>
      </c>
      <c r="AJ189" s="50" t="n">
        <f aca="false">IF(AJ156&gt;=100000,1,0)</f>
        <v>0</v>
      </c>
      <c r="AK189" s="50" t="n">
        <f aca="false">IF(AK156&gt;=100000,1,0)</f>
        <v>0</v>
      </c>
      <c r="AL189" s="50" t="n">
        <f aca="false">IF(AL156&gt;=100000,1,0)</f>
        <v>0</v>
      </c>
      <c r="AM189" s="50" t="n">
        <f aca="false">IF(AM156&gt;=100000,1,0)</f>
        <v>0</v>
      </c>
      <c r="AN189" s="50" t="n">
        <f aca="false">IF(AN156&gt;=100000,1,0)</f>
        <v>0</v>
      </c>
      <c r="AO189" s="50" t="n">
        <f aca="false">IF(AO156&gt;=100000,1,0)</f>
        <v>0</v>
      </c>
      <c r="AP189" s="50" t="n">
        <f aca="false">IF(AP156&gt;=100000,1,0)</f>
        <v>0</v>
      </c>
      <c r="AQ189" s="50" t="n">
        <f aca="false">IF(AQ156&gt;=100000,1,0)</f>
        <v>0</v>
      </c>
      <c r="AR189" s="50" t="n">
        <f aca="false">IF(AR156&gt;=100000,1,0)</f>
        <v>0</v>
      </c>
      <c r="AS189" s="50" t="n">
        <f aca="false">IF(AS156&gt;=100000,1,0)</f>
        <v>0</v>
      </c>
      <c r="AT189" s="50" t="n">
        <f aca="false">IF(AT156&gt;=100000,1,0)</f>
        <v>0</v>
      </c>
      <c r="AU189" s="50" t="n">
        <f aca="false">IF(AU156&gt;=100000,1,0)</f>
        <v>0</v>
      </c>
      <c r="AV189" s="50" t="n">
        <f aca="false">IF(AV156&gt;=100000,1,0)</f>
        <v>0</v>
      </c>
      <c r="AW189" s="50" t="n">
        <f aca="false">IF(AW156&gt;=100000,1,0)</f>
        <v>0</v>
      </c>
      <c r="AX189" s="50" t="n">
        <f aca="false">IF(AX156&gt;=100000,1,0)</f>
        <v>0</v>
      </c>
      <c r="AY189" s="50" t="n">
        <f aca="false">IF(AY156&gt;=100000,1,0)</f>
        <v>0</v>
      </c>
      <c r="AZ189" s="50" t="n">
        <f aca="false">IF(AZ156&gt;=100000,1,0)</f>
        <v>0</v>
      </c>
      <c r="BA189" s="50" t="n">
        <f aca="false">IF(BA156&gt;=100000,1,0)</f>
        <v>0</v>
      </c>
      <c r="BB189" s="50" t="n">
        <f aca="false">IF(BB156&gt;=100000,1,0)</f>
        <v>0</v>
      </c>
      <c r="BC189" s="50" t="n">
        <f aca="false">IF(BC156&gt;=100000,1,0)</f>
        <v>0</v>
      </c>
      <c r="BD189" s="50" t="n">
        <f aca="false">IF(BD156&gt;=100000,1,0)</f>
        <v>0</v>
      </c>
      <c r="BE189" s="50" t="n">
        <f aca="false">IF(BE156&gt;=100000,1,0)</f>
        <v>0</v>
      </c>
      <c r="BF189" s="50" t="n">
        <f aca="false">IF(BF156&gt;=100000,1,0)</f>
        <v>0</v>
      </c>
      <c r="BG189" s="50" t="n">
        <f aca="false">IF(BG156&gt;=100000,1,0)</f>
        <v>0</v>
      </c>
      <c r="BH189" s="50" t="n">
        <f aca="false">IF(BH156&gt;=100000,1,0)</f>
        <v>0</v>
      </c>
      <c r="BI189" s="50" t="n">
        <f aca="false">IF(BI156&gt;=100000,1,0)</f>
        <v>0</v>
      </c>
      <c r="BJ189" s="50" t="n">
        <f aca="false">IF(BJ156&gt;=100000,1,0)</f>
        <v>0</v>
      </c>
      <c r="BK189" s="50" t="n">
        <f aca="false">IF(BK156&gt;=100000,1,0)</f>
        <v>0</v>
      </c>
    </row>
    <row r="190" customFormat="false" ht="15" hidden="false" customHeight="false" outlineLevel="0" collapsed="false">
      <c r="A190" s="0" t="s">
        <v>230</v>
      </c>
      <c r="D190" s="50" t="n">
        <f aca="false">IF(D157&gt;=1000000,1,0)</f>
        <v>0</v>
      </c>
      <c r="E190" s="50" t="n">
        <f aca="false">IF(E157&gt;=1000000,1,0)</f>
        <v>0</v>
      </c>
      <c r="F190" s="50" t="n">
        <f aca="false">IF(F157&gt;=1000000,1,0)</f>
        <v>0</v>
      </c>
      <c r="G190" s="50" t="n">
        <f aca="false">IF(G157&gt;=1000000,1,0)</f>
        <v>0</v>
      </c>
      <c r="H190" s="50" t="n">
        <f aca="false">IF(H157&gt;=1000000,1,0)</f>
        <v>0</v>
      </c>
      <c r="I190" s="50" t="n">
        <f aca="false">IF(I157&gt;=1000000,1,0)</f>
        <v>0</v>
      </c>
      <c r="J190" s="50" t="n">
        <f aca="false">IF(J157&gt;=1000000,1,0)</f>
        <v>0</v>
      </c>
      <c r="K190" s="50" t="n">
        <f aca="false">IF(K157&gt;=1000000,1,0)</f>
        <v>0</v>
      </c>
      <c r="L190" s="50" t="n">
        <f aca="false">IF(L157&gt;=1000000,1,0)</f>
        <v>0</v>
      </c>
      <c r="M190" s="50" t="n">
        <f aca="false">IF(M157&gt;=1000000,1,0)</f>
        <v>0</v>
      </c>
      <c r="N190" s="50" t="n">
        <f aca="false">IF(N157&gt;=1000000,1,0)</f>
        <v>0</v>
      </c>
      <c r="O190" s="50" t="n">
        <f aca="false">IF(O157&gt;=1000000,1,0)</f>
        <v>0</v>
      </c>
      <c r="P190" s="50" t="n">
        <f aca="false">IF(P157&gt;=1000000,1,0)</f>
        <v>0</v>
      </c>
      <c r="Q190" s="50" t="n">
        <f aca="false">IF(Q157&gt;=1000000,1,0)</f>
        <v>0</v>
      </c>
      <c r="R190" s="50" t="n">
        <f aca="false">IF(R157&gt;=1000000,1,0)</f>
        <v>0</v>
      </c>
      <c r="S190" s="50" t="n">
        <f aca="false">IF(S157&gt;=1000000,1,0)</f>
        <v>0</v>
      </c>
      <c r="T190" s="50" t="n">
        <f aca="false">IF(T157&gt;=1000000,1,0)</f>
        <v>0</v>
      </c>
      <c r="U190" s="50" t="n">
        <f aca="false">IF(U157&gt;=1000000,1,0)</f>
        <v>0</v>
      </c>
      <c r="V190" s="50" t="n">
        <f aca="false">IF(V157&gt;=1000000,1,0)</f>
        <v>0</v>
      </c>
      <c r="W190" s="50" t="n">
        <f aca="false">IF(W157&gt;=1000000,1,0)</f>
        <v>0</v>
      </c>
      <c r="X190" s="50" t="n">
        <f aca="false">IF(X157&gt;=1000000,1,0)</f>
        <v>0</v>
      </c>
      <c r="Y190" s="50" t="n">
        <f aca="false">IF(Y157&gt;=1000000,1,0)</f>
        <v>0</v>
      </c>
      <c r="Z190" s="50" t="n">
        <f aca="false">IF(Z157&gt;=1000000,1,0)</f>
        <v>0</v>
      </c>
      <c r="AA190" s="50" t="n">
        <f aca="false">IF(AA157&gt;=1000000,1,0)</f>
        <v>0</v>
      </c>
      <c r="AB190" s="50" t="n">
        <f aca="false">IF(AB157&gt;=1000000,1,0)</f>
        <v>0</v>
      </c>
      <c r="AC190" s="50" t="n">
        <f aca="false">IF(AC157&gt;=1000000,1,0)</f>
        <v>0</v>
      </c>
      <c r="AD190" s="50" t="n">
        <f aca="false">IF(AD157&gt;=1000000,1,0)</f>
        <v>0</v>
      </c>
      <c r="AE190" s="50" t="n">
        <f aca="false">IF(AE157&gt;=1000000,1,0)</f>
        <v>0</v>
      </c>
      <c r="AF190" s="50" t="n">
        <f aca="false">IF(AF157&gt;=1000000,1,0)</f>
        <v>0</v>
      </c>
      <c r="AG190" s="50" t="n">
        <f aca="false">IF(AG157&gt;=1000000,1,0)</f>
        <v>0</v>
      </c>
      <c r="AH190" s="50" t="n">
        <f aca="false">IF(AH157&gt;=1000000,1,0)</f>
        <v>0</v>
      </c>
      <c r="AI190" s="50" t="n">
        <f aca="false">IF(AI157&gt;=1000000,1,0)</f>
        <v>0</v>
      </c>
      <c r="AJ190" s="50" t="n">
        <f aca="false">IF(AJ157&gt;=1000000,1,0)</f>
        <v>0</v>
      </c>
      <c r="AK190" s="50" t="n">
        <f aca="false">IF(AK157&gt;=1000000,1,0)</f>
        <v>0</v>
      </c>
      <c r="AL190" s="50" t="n">
        <f aca="false">IF(AL157&gt;=1000000,1,0)</f>
        <v>0</v>
      </c>
      <c r="AM190" s="50" t="n">
        <f aca="false">IF(AM157&gt;=1000000,1,0)</f>
        <v>0</v>
      </c>
      <c r="AN190" s="50" t="n">
        <f aca="false">IF(AN157&gt;=1000000,1,0)</f>
        <v>0</v>
      </c>
      <c r="AO190" s="50" t="n">
        <f aca="false">IF(AO157&gt;=1000000,1,0)</f>
        <v>0</v>
      </c>
      <c r="AP190" s="50" t="n">
        <f aca="false">IF(AP157&gt;=1000000,1,0)</f>
        <v>0</v>
      </c>
      <c r="AQ190" s="50" t="n">
        <f aca="false">IF(AQ157&gt;=1000000,1,0)</f>
        <v>0</v>
      </c>
      <c r="AR190" s="50" t="n">
        <f aca="false">IF(AR157&gt;=1000000,1,0)</f>
        <v>0</v>
      </c>
      <c r="AS190" s="50" t="n">
        <f aca="false">IF(AS157&gt;=1000000,1,0)</f>
        <v>0</v>
      </c>
      <c r="AT190" s="50" t="n">
        <f aca="false">IF(AT157&gt;=1000000,1,0)</f>
        <v>0</v>
      </c>
      <c r="AU190" s="50" t="n">
        <f aca="false">IF(AU157&gt;=1000000,1,0)</f>
        <v>0</v>
      </c>
      <c r="AV190" s="50" t="n">
        <f aca="false">IF(AV157&gt;=1000000,1,0)</f>
        <v>0</v>
      </c>
      <c r="AW190" s="50" t="n">
        <f aca="false">IF(AW157&gt;=1000000,1,0)</f>
        <v>0</v>
      </c>
      <c r="AX190" s="50" t="n">
        <f aca="false">IF(AX157&gt;=1000000,1,0)</f>
        <v>0</v>
      </c>
      <c r="AY190" s="50" t="n">
        <f aca="false">IF(AY157&gt;=1000000,1,0)</f>
        <v>0</v>
      </c>
      <c r="AZ190" s="50" t="n">
        <f aca="false">IF(AZ157&gt;=1000000,1,0)</f>
        <v>0</v>
      </c>
      <c r="BA190" s="50" t="n">
        <f aca="false">IF(BA157&gt;=1000000,1,0)</f>
        <v>0</v>
      </c>
      <c r="BB190" s="50" t="n">
        <f aca="false">IF(BB157&gt;=1000000,1,0)</f>
        <v>0</v>
      </c>
      <c r="BC190" s="50" t="n">
        <f aca="false">IF(BC157&gt;=1000000,1,0)</f>
        <v>0</v>
      </c>
      <c r="BD190" s="50" t="n">
        <f aca="false">IF(BD157&gt;=1000000,1,0)</f>
        <v>0</v>
      </c>
      <c r="BE190" s="50" t="n">
        <f aca="false">IF(BE157&gt;=1000000,1,0)</f>
        <v>0</v>
      </c>
      <c r="BF190" s="50" t="n">
        <f aca="false">IF(BF157&gt;=1000000,1,0)</f>
        <v>0</v>
      </c>
      <c r="BG190" s="50" t="n">
        <f aca="false">IF(BG157&gt;=1000000,1,0)</f>
        <v>0</v>
      </c>
      <c r="BH190" s="50" t="n">
        <f aca="false">IF(BH157&gt;=1000000,1,0)</f>
        <v>0</v>
      </c>
      <c r="BI190" s="50" t="n">
        <f aca="false">IF(BI157&gt;=1000000,1,0)</f>
        <v>0</v>
      </c>
      <c r="BJ190" s="50" t="n">
        <f aca="false">IF(BJ157&gt;=1000000,1,0)</f>
        <v>0</v>
      </c>
      <c r="BK190" s="50" t="n">
        <f aca="false">IF(BK157&gt;=1000000,1,0)</f>
        <v>0</v>
      </c>
    </row>
    <row r="191" customFormat="false" ht="15" hidden="false" customHeight="false" outlineLevel="0" collapsed="false">
      <c r="A191" s="0" t="s">
        <v>231</v>
      </c>
      <c r="D191" s="50" t="n">
        <f aca="false">IF(D157&gt;=5000000,1,0)</f>
        <v>0</v>
      </c>
      <c r="E191" s="50" t="n">
        <f aca="false">IF(E157&gt;=5000000,1,0)</f>
        <v>0</v>
      </c>
      <c r="F191" s="50" t="n">
        <f aca="false">IF(F157&gt;=5000000,1,0)</f>
        <v>0</v>
      </c>
      <c r="G191" s="50" t="n">
        <f aca="false">IF(G157&gt;=5000000,1,0)</f>
        <v>0</v>
      </c>
      <c r="H191" s="50" t="n">
        <f aca="false">IF(H157&gt;=5000000,1,0)</f>
        <v>0</v>
      </c>
      <c r="I191" s="50" t="n">
        <f aca="false">IF(I157&gt;=5000000,1,0)</f>
        <v>0</v>
      </c>
      <c r="J191" s="50" t="n">
        <f aca="false">IF(J157&gt;=5000000,1,0)</f>
        <v>0</v>
      </c>
      <c r="K191" s="50" t="n">
        <f aca="false">IF(K157&gt;=5000000,1,0)</f>
        <v>0</v>
      </c>
      <c r="L191" s="50" t="n">
        <f aca="false">IF(L157&gt;=5000000,1,0)</f>
        <v>0</v>
      </c>
      <c r="M191" s="50" t="n">
        <f aca="false">IF(M157&gt;=5000000,1,0)</f>
        <v>0</v>
      </c>
      <c r="N191" s="50" t="n">
        <f aca="false">IF(N157&gt;=5000000,1,0)</f>
        <v>0</v>
      </c>
      <c r="O191" s="50" t="n">
        <f aca="false">IF(O157&gt;=5000000,1,0)</f>
        <v>0</v>
      </c>
      <c r="P191" s="50" t="n">
        <f aca="false">IF(P157&gt;=5000000,1,0)</f>
        <v>0</v>
      </c>
      <c r="Q191" s="50" t="n">
        <f aca="false">IF(Q157&gt;=5000000,1,0)</f>
        <v>0</v>
      </c>
      <c r="R191" s="50" t="n">
        <f aca="false">IF(R157&gt;=5000000,1,0)</f>
        <v>0</v>
      </c>
      <c r="S191" s="50" t="n">
        <f aca="false">IF(S157&gt;=5000000,1,0)</f>
        <v>0</v>
      </c>
      <c r="T191" s="50" t="n">
        <f aca="false">IF(T157&gt;=5000000,1,0)</f>
        <v>0</v>
      </c>
      <c r="U191" s="50" t="n">
        <f aca="false">IF(U157&gt;=5000000,1,0)</f>
        <v>0</v>
      </c>
      <c r="V191" s="50" t="n">
        <f aca="false">IF(V157&gt;=5000000,1,0)</f>
        <v>0</v>
      </c>
      <c r="W191" s="50" t="n">
        <f aca="false">IF(W157&gt;=5000000,1,0)</f>
        <v>0</v>
      </c>
      <c r="X191" s="50" t="n">
        <f aca="false">IF(X157&gt;=5000000,1,0)</f>
        <v>0</v>
      </c>
      <c r="Y191" s="50" t="n">
        <f aca="false">IF(Y157&gt;=5000000,1,0)</f>
        <v>0</v>
      </c>
      <c r="Z191" s="50" t="n">
        <f aca="false">IF(Z157&gt;=5000000,1,0)</f>
        <v>0</v>
      </c>
      <c r="AA191" s="50" t="n">
        <f aca="false">IF(AA157&gt;=5000000,1,0)</f>
        <v>0</v>
      </c>
      <c r="AB191" s="50" t="n">
        <f aca="false">IF(AB157&gt;=5000000,1,0)</f>
        <v>0</v>
      </c>
      <c r="AC191" s="50" t="n">
        <f aca="false">IF(AC157&gt;=5000000,1,0)</f>
        <v>0</v>
      </c>
      <c r="AD191" s="50" t="n">
        <f aca="false">IF(AD157&gt;=5000000,1,0)</f>
        <v>0</v>
      </c>
      <c r="AE191" s="50" t="n">
        <f aca="false">IF(AE157&gt;=5000000,1,0)</f>
        <v>0</v>
      </c>
      <c r="AF191" s="50" t="n">
        <f aca="false">IF(AF157&gt;=5000000,1,0)</f>
        <v>0</v>
      </c>
      <c r="AG191" s="50" t="n">
        <f aca="false">IF(AG157&gt;=5000000,1,0)</f>
        <v>0</v>
      </c>
      <c r="AH191" s="50" t="n">
        <f aca="false">IF(AH157&gt;=5000000,1,0)</f>
        <v>0</v>
      </c>
      <c r="AI191" s="50" t="n">
        <f aca="false">IF(AI157&gt;=5000000,1,0)</f>
        <v>0</v>
      </c>
      <c r="AJ191" s="50" t="n">
        <f aca="false">IF(AJ157&gt;=5000000,1,0)</f>
        <v>0</v>
      </c>
      <c r="AK191" s="50" t="n">
        <f aca="false">IF(AK157&gt;=5000000,1,0)</f>
        <v>0</v>
      </c>
      <c r="AL191" s="50" t="n">
        <f aca="false">IF(AL157&gt;=5000000,1,0)</f>
        <v>0</v>
      </c>
      <c r="AM191" s="50" t="n">
        <f aca="false">IF(AM157&gt;=5000000,1,0)</f>
        <v>0</v>
      </c>
      <c r="AN191" s="50" t="n">
        <f aca="false">IF(AN157&gt;=5000000,1,0)</f>
        <v>0</v>
      </c>
      <c r="AO191" s="50" t="n">
        <f aca="false">IF(AO157&gt;=5000000,1,0)</f>
        <v>0</v>
      </c>
      <c r="AP191" s="50" t="n">
        <f aca="false">IF(AP157&gt;=5000000,1,0)</f>
        <v>0</v>
      </c>
      <c r="AQ191" s="50" t="n">
        <f aca="false">IF(AQ157&gt;=5000000,1,0)</f>
        <v>0</v>
      </c>
      <c r="AR191" s="50" t="n">
        <f aca="false">IF(AR157&gt;=5000000,1,0)</f>
        <v>0</v>
      </c>
      <c r="AS191" s="50" t="n">
        <f aca="false">IF(AS157&gt;=5000000,1,0)</f>
        <v>0</v>
      </c>
      <c r="AT191" s="50" t="n">
        <f aca="false">IF(AT157&gt;=5000000,1,0)</f>
        <v>0</v>
      </c>
      <c r="AU191" s="50" t="n">
        <f aca="false">IF(AU157&gt;=5000000,1,0)</f>
        <v>0</v>
      </c>
      <c r="AV191" s="50" t="n">
        <f aca="false">IF(AV157&gt;=5000000,1,0)</f>
        <v>0</v>
      </c>
      <c r="AW191" s="50" t="n">
        <f aca="false">IF(AW157&gt;=5000000,1,0)</f>
        <v>0</v>
      </c>
      <c r="AX191" s="50" t="n">
        <f aca="false">IF(AX157&gt;=5000000,1,0)</f>
        <v>0</v>
      </c>
      <c r="AY191" s="50" t="n">
        <f aca="false">IF(AY157&gt;=5000000,1,0)</f>
        <v>0</v>
      </c>
      <c r="AZ191" s="50" t="n">
        <f aca="false">IF(AZ157&gt;=5000000,1,0)</f>
        <v>0</v>
      </c>
      <c r="BA191" s="50" t="n">
        <f aca="false">IF(BA157&gt;=5000000,1,0)</f>
        <v>0</v>
      </c>
      <c r="BB191" s="50" t="n">
        <f aca="false">IF(BB157&gt;=5000000,1,0)</f>
        <v>0</v>
      </c>
      <c r="BC191" s="50" t="n">
        <f aca="false">IF(BC157&gt;=5000000,1,0)</f>
        <v>0</v>
      </c>
      <c r="BD191" s="50" t="n">
        <f aca="false">IF(BD157&gt;=5000000,1,0)</f>
        <v>0</v>
      </c>
      <c r="BE191" s="50" t="n">
        <f aca="false">IF(BE157&gt;=5000000,1,0)</f>
        <v>0</v>
      </c>
      <c r="BF191" s="50" t="n">
        <f aca="false">IF(BF157&gt;=5000000,1,0)</f>
        <v>0</v>
      </c>
      <c r="BG191" s="50" t="n">
        <f aca="false">IF(BG157&gt;=5000000,1,0)</f>
        <v>0</v>
      </c>
      <c r="BH191" s="50" t="n">
        <f aca="false">IF(BH157&gt;=5000000,1,0)</f>
        <v>0</v>
      </c>
      <c r="BI191" s="50" t="n">
        <f aca="false">IF(BI157&gt;=5000000,1,0)</f>
        <v>0</v>
      </c>
      <c r="BJ191" s="50" t="n">
        <f aca="false">IF(BJ157&gt;=5000000,1,0)</f>
        <v>0</v>
      </c>
      <c r="BK191" s="50" t="n">
        <f aca="false">IF(BK157&gt;=5000000,1,0)</f>
        <v>0</v>
      </c>
    </row>
    <row r="195" customFormat="false" ht="16.15" hidden="false" customHeight="false" outlineLevel="0" collapsed="false">
      <c r="A195" s="49" t="s">
        <v>233</v>
      </c>
      <c r="B195" s="15"/>
      <c r="C195" s="15"/>
      <c r="D195" s="15"/>
      <c r="E195" s="15"/>
      <c r="F195" s="15"/>
      <c r="G195" s="15"/>
    </row>
    <row r="196" customFormat="false" ht="41.75" hidden="false" customHeight="false" outlineLevel="0" collapsed="false">
      <c r="A196" s="5" t="s">
        <v>174</v>
      </c>
      <c r="B196" s="5" t="s">
        <v>11</v>
      </c>
      <c r="C196" s="5" t="s">
        <v>12</v>
      </c>
      <c r="D196" s="5" t="s">
        <v>13</v>
      </c>
      <c r="E196" s="5" t="s">
        <v>175</v>
      </c>
      <c r="F196" s="5" t="s">
        <v>176</v>
      </c>
      <c r="G196" s="5" t="s">
        <v>177</v>
      </c>
    </row>
    <row r="197" customFormat="false" ht="15" hidden="false" customHeight="false" outlineLevel="0" collapsed="false">
      <c r="A197" s="0" t="s">
        <v>30</v>
      </c>
      <c r="B197" s="0" t="n">
        <f aca="false">IFERROR(MATCH(1,$D$252:$BK$252,0),"not in 60 mo")</f>
        <v>4</v>
      </c>
      <c r="C197" s="7" t="n">
        <f aca="false">IFERROR(INDEX($D$221:$BK$221,B197),"-")</f>
        <v>1251.94815410367</v>
      </c>
      <c r="D197" s="8" t="n">
        <f aca="false">IFERROR(INDEX($D$218:$BK$218,B197),"-")</f>
        <v>28.0992733175</v>
      </c>
      <c r="E197" s="8" t="n">
        <f aca="false">IFERROR(INDEX($D$208:$BK$208,B197),"-")</f>
        <v>5926.176</v>
      </c>
      <c r="F197" s="8" t="n">
        <f aca="false">IFERROR(INDEX($D$211:$BK$211,B197),"-")</f>
        <v>9.12631104</v>
      </c>
      <c r="G197" s="9" t="n">
        <f aca="false">IFERROR(F197/E197,"-")</f>
        <v>0.00154</v>
      </c>
    </row>
    <row r="198" customFormat="false" ht="15" hidden="false" customHeight="false" outlineLevel="0" collapsed="false">
      <c r="A198" s="0" t="s">
        <v>31</v>
      </c>
      <c r="B198" s="0" t="n">
        <f aca="false">IFERROR(MATCH(1,$D$253:$BK$253,0),"not in 60 mo")</f>
        <v>16</v>
      </c>
      <c r="C198" s="7" t="n">
        <f aca="false">IFERROR(INDEX($D$221:$BK$221,B198),"-")</f>
        <v>11080.540350286</v>
      </c>
      <c r="D198" s="8" t="n">
        <f aca="false">IFERROR(INDEX($D$218:$BK$218,B198),"-")</f>
        <v>243.076684032708</v>
      </c>
      <c r="E198" s="8" t="n">
        <f aca="false">IFERROR(INDEX($D$208:$BK$208,B198),"-")</f>
        <v>28551.751913552</v>
      </c>
      <c r="F198" s="8" t="n">
        <f aca="false">IFERROR(INDEX($D$211:$BK$211,B198),"-")</f>
        <v>43.96969794687</v>
      </c>
      <c r="G198" s="9" t="n">
        <f aca="false">IFERROR(F198/E198,"-")</f>
        <v>0.00154</v>
      </c>
    </row>
    <row r="199" customFormat="false" ht="15" hidden="false" customHeight="false" outlineLevel="0" collapsed="false">
      <c r="A199" s="0" t="s">
        <v>32</v>
      </c>
      <c r="B199" s="0" t="n">
        <f aca="false">IFERROR(MATCH(1,$D$254:$BK$254,0),"not in 60 mo")</f>
        <v>33</v>
      </c>
      <c r="C199" s="7" t="n">
        <f aca="false">IFERROR(INDEX($D$221:$BK$221,B199),"-")</f>
        <v>108693.212234345</v>
      </c>
      <c r="D199" s="8" t="n">
        <f aca="false">IFERROR(INDEX($D$218:$BK$218,B199),"-")</f>
        <v>2368.6613389502</v>
      </c>
      <c r="E199" s="8" t="n">
        <f aca="false">IFERROR(INDEX($D$208:$BK$208,B199),"-")</f>
        <v>264859.304379498</v>
      </c>
      <c r="F199" s="8" t="n">
        <f aca="false">IFERROR(INDEX($D$211:$BK$211,B199),"-")</f>
        <v>407.883328744427</v>
      </c>
      <c r="G199" s="9" t="n">
        <f aca="false">IFERROR(F199/E199,"-")</f>
        <v>0.00154</v>
      </c>
    </row>
    <row r="200" customFormat="false" ht="15" hidden="false" customHeight="false" outlineLevel="0" collapsed="false">
      <c r="A200" s="0" t="s">
        <v>178</v>
      </c>
      <c r="B200" s="0" t="n">
        <f aca="false">IFERROR(MATCH(1,$D$255:$BK$255,0),"not in 60 mo")</f>
        <v>31</v>
      </c>
      <c r="C200" s="7" t="n">
        <f aca="false">IFERROR(INDEX($D$221:$BK$221,B200),"-")</f>
        <v>83535.8850058031</v>
      </c>
      <c r="D200" s="8" t="n">
        <f aca="false">IFERROR(INDEX($D$218:$BK$218,B200),"-")</f>
        <v>1820.83850809211</v>
      </c>
      <c r="E200" s="8" t="n">
        <f aca="false">IFERROR(INDEX($D$208:$BK$208,B200),"-")</f>
        <v>203800.634333255</v>
      </c>
      <c r="F200" s="8" t="n">
        <f aca="false">IFERROR(INDEX($D$211:$BK$211,B200),"-")</f>
        <v>313.852976873212</v>
      </c>
      <c r="G200" s="9" t="n">
        <f aca="false">IFERROR(F200/E200,"-")</f>
        <v>0.00154</v>
      </c>
    </row>
    <row r="201" customFormat="false" ht="15" hidden="false" customHeight="false" outlineLevel="0" collapsed="false">
      <c r="A201" s="0" t="s">
        <v>179</v>
      </c>
      <c r="B201" s="0" t="n">
        <f aca="false">IFERROR(MATCH(1,$D$256:$BK$256,0),"not in 60 mo")</f>
        <v>57</v>
      </c>
      <c r="C201" s="7" t="n">
        <f aca="false">IFERROR(INDEX($D$221:$BK$221,B201),"-")</f>
        <v>423842.296603368</v>
      </c>
      <c r="D201" s="8" t="n">
        <f aca="false">IFERROR(INDEX($D$218:$BK$218,B201),"-")</f>
        <v>8831.06364592846</v>
      </c>
      <c r="E201" s="8" t="n">
        <f aca="false">IFERROR(INDEX($D$208:$BK$208,B201),"-")</f>
        <v>400000</v>
      </c>
      <c r="F201" s="8" t="n">
        <f aca="false">IFERROR(INDEX($D$211:$BK$211,B201),"-")</f>
        <v>616</v>
      </c>
      <c r="G201" s="9" t="n">
        <f aca="false">IFERROR(F201/E201,"-")</f>
        <v>0.00154</v>
      </c>
    </row>
    <row r="204" customFormat="false" ht="15" hidden="false" customHeight="false" outlineLevel="0" collapsed="false">
      <c r="A204" s="0" t="s">
        <v>180</v>
      </c>
      <c r="C204" s="0" t="n">
        <v>0</v>
      </c>
      <c r="D204" s="50" t="n">
        <v>1</v>
      </c>
      <c r="E204" s="50" t="n">
        <v>2</v>
      </c>
      <c r="F204" s="50" t="n">
        <v>3</v>
      </c>
      <c r="G204" s="50" t="n">
        <v>4</v>
      </c>
      <c r="H204" s="50" t="n">
        <v>5</v>
      </c>
      <c r="I204" s="50" t="n">
        <v>6</v>
      </c>
      <c r="J204" s="50" t="n">
        <v>7</v>
      </c>
      <c r="K204" s="50" t="n">
        <v>8</v>
      </c>
      <c r="L204" s="50" t="n">
        <v>9</v>
      </c>
      <c r="M204" s="50" t="n">
        <v>10</v>
      </c>
      <c r="N204" s="50" t="n">
        <v>11</v>
      </c>
      <c r="O204" s="50" t="n">
        <v>12</v>
      </c>
      <c r="P204" s="50" t="n">
        <v>13</v>
      </c>
      <c r="Q204" s="50" t="n">
        <v>14</v>
      </c>
      <c r="R204" s="50" t="n">
        <v>15</v>
      </c>
      <c r="S204" s="50" t="n">
        <v>16</v>
      </c>
      <c r="T204" s="50" t="n">
        <v>17</v>
      </c>
      <c r="U204" s="50" t="n">
        <v>18</v>
      </c>
      <c r="V204" s="50" t="n">
        <v>19</v>
      </c>
      <c r="W204" s="50" t="n">
        <v>20</v>
      </c>
      <c r="X204" s="50" t="n">
        <v>21</v>
      </c>
      <c r="Y204" s="50" t="n">
        <v>22</v>
      </c>
      <c r="Z204" s="50" t="n">
        <v>23</v>
      </c>
      <c r="AA204" s="50" t="n">
        <v>24</v>
      </c>
      <c r="AB204" s="50" t="n">
        <v>25</v>
      </c>
      <c r="AC204" s="50" t="n">
        <v>26</v>
      </c>
      <c r="AD204" s="50" t="n">
        <v>27</v>
      </c>
      <c r="AE204" s="50" t="n">
        <v>28</v>
      </c>
      <c r="AF204" s="50" t="n">
        <v>29</v>
      </c>
      <c r="AG204" s="50" t="n">
        <v>30</v>
      </c>
      <c r="AH204" s="50" t="n">
        <v>31</v>
      </c>
      <c r="AI204" s="50" t="n">
        <v>32</v>
      </c>
      <c r="AJ204" s="50" t="n">
        <v>33</v>
      </c>
      <c r="AK204" s="50" t="n">
        <v>34</v>
      </c>
      <c r="AL204" s="50" t="n">
        <v>35</v>
      </c>
      <c r="AM204" s="50" t="n">
        <v>36</v>
      </c>
      <c r="AN204" s="50" t="n">
        <v>37</v>
      </c>
      <c r="AO204" s="50" t="n">
        <v>38</v>
      </c>
      <c r="AP204" s="50" t="n">
        <v>39</v>
      </c>
      <c r="AQ204" s="50" t="n">
        <v>40</v>
      </c>
      <c r="AR204" s="50" t="n">
        <v>41</v>
      </c>
      <c r="AS204" s="50" t="n">
        <v>42</v>
      </c>
      <c r="AT204" s="50" t="n">
        <v>43</v>
      </c>
      <c r="AU204" s="50" t="n">
        <v>44</v>
      </c>
      <c r="AV204" s="50" t="n">
        <v>45</v>
      </c>
      <c r="AW204" s="50" t="n">
        <v>46</v>
      </c>
      <c r="AX204" s="50" t="n">
        <v>47</v>
      </c>
      <c r="AY204" s="50" t="n">
        <v>48</v>
      </c>
      <c r="AZ204" s="50" t="n">
        <v>49</v>
      </c>
      <c r="BA204" s="50" t="n">
        <v>50</v>
      </c>
      <c r="BB204" s="50" t="n">
        <v>51</v>
      </c>
      <c r="BC204" s="50" t="n">
        <v>52</v>
      </c>
      <c r="BD204" s="50" t="n">
        <v>53</v>
      </c>
      <c r="BE204" s="50" t="n">
        <v>54</v>
      </c>
      <c r="BF204" s="50" t="n">
        <v>55</v>
      </c>
      <c r="BG204" s="50" t="n">
        <v>56</v>
      </c>
      <c r="BH204" s="50" t="n">
        <v>57</v>
      </c>
      <c r="BI204" s="50" t="n">
        <v>58</v>
      </c>
      <c r="BJ204" s="50" t="n">
        <v>59</v>
      </c>
      <c r="BK204" s="50" t="n">
        <v>60</v>
      </c>
    </row>
    <row r="205" customFormat="false" ht="15" hidden="false" customHeight="false" outlineLevel="0" collapsed="false">
      <c r="A205" s="0" t="s">
        <v>181</v>
      </c>
      <c r="D205" s="12" t="n">
        <f aca="false">MIN($E$22,$E$20*(1+$E$21)^(D204-1))</f>
        <v>4000</v>
      </c>
      <c r="E205" s="12" t="n">
        <f aca="false">MIN($E$22,$E$20*(1+$E$21)^(E204-1))</f>
        <v>4560</v>
      </c>
      <c r="F205" s="12" t="n">
        <f aca="false">MIN($E$22,$E$20*(1+$E$21)^(F204-1))</f>
        <v>5198.4</v>
      </c>
      <c r="G205" s="12" t="n">
        <f aca="false">MIN($E$22,$E$20*(1+$E$21)^(G204-1))</f>
        <v>5926.176</v>
      </c>
      <c r="H205" s="12" t="n">
        <f aca="false">MIN($E$22,$E$20*(1+$E$21)^(H204-1))</f>
        <v>6755.84064</v>
      </c>
      <c r="I205" s="12" t="n">
        <f aca="false">MIN($E$22,$E$20*(1+$E$21)^(I204-1))</f>
        <v>7701.6583296</v>
      </c>
      <c r="J205" s="12" t="n">
        <f aca="false">MIN($E$22,$E$20*(1+$E$21)^(J204-1))</f>
        <v>8779.89049574401</v>
      </c>
      <c r="K205" s="12" t="n">
        <f aca="false">MIN($E$22,$E$20*(1+$E$21)^(K204-1))</f>
        <v>10009.0751651482</v>
      </c>
      <c r="L205" s="12" t="n">
        <f aca="false">MIN($E$22,$E$20*(1+$E$21)^(L204-1))</f>
        <v>11410.3456882689</v>
      </c>
      <c r="M205" s="12" t="n">
        <f aca="false">MIN($E$22,$E$20*(1+$E$21)^(M204-1))</f>
        <v>13007.7940846266</v>
      </c>
      <c r="N205" s="12" t="n">
        <f aca="false">MIN($E$22,$E$20*(1+$E$21)^(N204-1))</f>
        <v>14828.8852564743</v>
      </c>
      <c r="O205" s="12" t="n">
        <f aca="false">MIN($E$22,$E$20*(1+$E$21)^(O204-1))</f>
        <v>16904.9291923807</v>
      </c>
      <c r="P205" s="12" t="n">
        <f aca="false">MIN($E$22,$E$20*(1+$E$21)^(P204-1))</f>
        <v>19271.619279314</v>
      </c>
      <c r="Q205" s="12" t="n">
        <f aca="false">MIN($E$22,$E$20*(1+$E$21)^(Q204-1))</f>
        <v>21969.6459784179</v>
      </c>
      <c r="R205" s="12" t="n">
        <f aca="false">MIN($E$22,$E$20*(1+$E$21)^(R204-1))</f>
        <v>25045.3964153965</v>
      </c>
      <c r="S205" s="12" t="n">
        <f aca="false">MIN($E$22,$E$20*(1+$E$21)^(S204-1))</f>
        <v>28551.751913552</v>
      </c>
      <c r="T205" s="12" t="n">
        <f aca="false">MIN($E$22,$E$20*(1+$E$21)^(T204-1))</f>
        <v>32548.9971814492</v>
      </c>
      <c r="U205" s="12" t="n">
        <f aca="false">MIN($E$22,$E$20*(1+$E$21)^(U204-1))</f>
        <v>37105.8567868521</v>
      </c>
      <c r="V205" s="12" t="n">
        <f aca="false">MIN($E$22,$E$20*(1+$E$21)^(V204-1))</f>
        <v>42300.6767370115</v>
      </c>
      <c r="W205" s="12" t="n">
        <f aca="false">MIN($E$22,$E$20*(1+$E$21)^(W204-1))</f>
        <v>48222.7714801931</v>
      </c>
      <c r="X205" s="12" t="n">
        <f aca="false">MIN($E$22,$E$20*(1+$E$21)^(X204-1))</f>
        <v>54973.9594874201</v>
      </c>
      <c r="Y205" s="12" t="n">
        <f aca="false">MIN($E$22,$E$20*(1+$E$21)^(Y204-1))</f>
        <v>62670.3138156589</v>
      </c>
      <c r="Z205" s="12" t="n">
        <f aca="false">MIN($E$22,$E$20*(1+$E$21)^(Z204-1))</f>
        <v>71444.1577498512</v>
      </c>
      <c r="AA205" s="12" t="n">
        <f aca="false">MIN($E$22,$E$20*(1+$E$21)^(AA204-1))</f>
        <v>81446.3398348303</v>
      </c>
      <c r="AB205" s="12" t="n">
        <f aca="false">MIN($E$22,$E$20*(1+$E$21)^(AB204-1))</f>
        <v>92848.8274117066</v>
      </c>
      <c r="AC205" s="12" t="n">
        <f aca="false">MIN($E$22,$E$20*(1+$E$21)^(AC204-1))</f>
        <v>105847.663249346</v>
      </c>
      <c r="AD205" s="12" t="n">
        <f aca="false">MIN($E$22,$E$20*(1+$E$21)^(AD204-1))</f>
        <v>120666.336104254</v>
      </c>
      <c r="AE205" s="12" t="n">
        <f aca="false">MIN($E$22,$E$20*(1+$E$21)^(AE204-1))</f>
        <v>137559.623158849</v>
      </c>
      <c r="AF205" s="12" t="n">
        <f aca="false">MIN($E$22,$E$20*(1+$E$21)^(AF204-1))</f>
        <v>156817.970401088</v>
      </c>
      <c r="AG205" s="12" t="n">
        <f aca="false">MIN($E$22,$E$20*(1+$E$21)^(AG204-1))</f>
        <v>178772.486257241</v>
      </c>
      <c r="AH205" s="12" t="n">
        <f aca="false">MIN($E$22,$E$20*(1+$E$21)^(AH204-1))</f>
        <v>203800.634333255</v>
      </c>
      <c r="AI205" s="12" t="n">
        <f aca="false">MIN($E$22,$E$20*(1+$E$21)^(AI204-1))</f>
        <v>232332.72313991</v>
      </c>
      <c r="AJ205" s="12" t="n">
        <f aca="false">MIN($E$22,$E$20*(1+$E$21)^(AJ204-1))</f>
        <v>264859.304379498</v>
      </c>
      <c r="AK205" s="12" t="n">
        <f aca="false">MIN($E$22,$E$20*(1+$E$21)^(AK204-1))</f>
        <v>301939.606992627</v>
      </c>
      <c r="AL205" s="12" t="n">
        <f aca="false">MIN($E$22,$E$20*(1+$E$21)^(AL204-1))</f>
        <v>344211.151971595</v>
      </c>
      <c r="AM205" s="12" t="n">
        <f aca="false">MIN($E$22,$E$20*(1+$E$21)^(AM204-1))</f>
        <v>392400.713247619</v>
      </c>
      <c r="AN205" s="12" t="n">
        <f aca="false">MIN($E$22,$E$20*(1+$E$21)^(AN204-1))</f>
        <v>400000</v>
      </c>
      <c r="AO205" s="12" t="n">
        <f aca="false">MIN($E$22,$E$20*(1+$E$21)^(AO204-1))</f>
        <v>400000</v>
      </c>
      <c r="AP205" s="12" t="n">
        <f aca="false">MIN($E$22,$E$20*(1+$E$21)^(AP204-1))</f>
        <v>400000</v>
      </c>
      <c r="AQ205" s="12" t="n">
        <f aca="false">MIN($E$22,$E$20*(1+$E$21)^(AQ204-1))</f>
        <v>400000</v>
      </c>
      <c r="AR205" s="12" t="n">
        <f aca="false">MIN($E$22,$E$20*(1+$E$21)^(AR204-1))</f>
        <v>400000</v>
      </c>
      <c r="AS205" s="12" t="n">
        <f aca="false">MIN($E$22,$E$20*(1+$E$21)^(AS204-1))</f>
        <v>400000</v>
      </c>
      <c r="AT205" s="12" t="n">
        <f aca="false">MIN($E$22,$E$20*(1+$E$21)^(AT204-1))</f>
        <v>400000</v>
      </c>
      <c r="AU205" s="12" t="n">
        <f aca="false">MIN($E$22,$E$20*(1+$E$21)^(AU204-1))</f>
        <v>400000</v>
      </c>
      <c r="AV205" s="12" t="n">
        <f aca="false">MIN($E$22,$E$20*(1+$E$21)^(AV204-1))</f>
        <v>400000</v>
      </c>
      <c r="AW205" s="12" t="n">
        <f aca="false">MIN($E$22,$E$20*(1+$E$21)^(AW204-1))</f>
        <v>400000</v>
      </c>
      <c r="AX205" s="12" t="n">
        <f aca="false">MIN($E$22,$E$20*(1+$E$21)^(AX204-1))</f>
        <v>400000</v>
      </c>
      <c r="AY205" s="12" t="n">
        <f aca="false">MIN($E$22,$E$20*(1+$E$21)^(AY204-1))</f>
        <v>400000</v>
      </c>
      <c r="AZ205" s="12" t="n">
        <f aca="false">MIN($E$22,$E$20*(1+$E$21)^(AZ204-1))</f>
        <v>400000</v>
      </c>
      <c r="BA205" s="12" t="n">
        <f aca="false">MIN($E$22,$E$20*(1+$E$21)^(BA204-1))</f>
        <v>400000</v>
      </c>
      <c r="BB205" s="12" t="n">
        <f aca="false">MIN($E$22,$E$20*(1+$E$21)^(BB204-1))</f>
        <v>400000</v>
      </c>
      <c r="BC205" s="12" t="n">
        <f aca="false">MIN($E$22,$E$20*(1+$E$21)^(BC204-1))</f>
        <v>400000</v>
      </c>
      <c r="BD205" s="12" t="n">
        <f aca="false">MIN($E$22,$E$20*(1+$E$21)^(BD204-1))</f>
        <v>400000</v>
      </c>
      <c r="BE205" s="12" t="n">
        <f aca="false">MIN($E$22,$E$20*(1+$E$21)^(BE204-1))</f>
        <v>400000</v>
      </c>
      <c r="BF205" s="12" t="n">
        <f aca="false">MIN($E$22,$E$20*(1+$E$21)^(BF204-1))</f>
        <v>400000</v>
      </c>
      <c r="BG205" s="12" t="n">
        <f aca="false">MIN($E$22,$E$20*(1+$E$21)^(BG204-1))</f>
        <v>400000</v>
      </c>
      <c r="BH205" s="12" t="n">
        <f aca="false">MIN($E$22,$E$20*(1+$E$21)^(BH204-1))</f>
        <v>400000</v>
      </c>
      <c r="BI205" s="12" t="n">
        <f aca="false">MIN($E$22,$E$20*(1+$E$21)^(BI204-1))</f>
        <v>400000</v>
      </c>
      <c r="BJ205" s="12" t="n">
        <f aca="false">MIN($E$22,$E$20*(1+$E$21)^(BJ204-1))</f>
        <v>400000</v>
      </c>
      <c r="BK205" s="12" t="n">
        <f aca="false">MIN($E$22,$E$20*(1+$E$21)^(BK204-1))</f>
        <v>400000</v>
      </c>
    </row>
    <row r="206" customFormat="false" ht="15" hidden="false" customHeight="false" outlineLevel="0" collapsed="false">
      <c r="A206" s="0" t="s">
        <v>182</v>
      </c>
      <c r="D206" s="12" t="n">
        <f aca="false">$E$23/$E$24</f>
        <v>0</v>
      </c>
      <c r="E206" s="12" t="n">
        <f aca="false">$E$23/$E$24</f>
        <v>0</v>
      </c>
      <c r="F206" s="12" t="n">
        <f aca="false">$E$23/$E$24</f>
        <v>0</v>
      </c>
      <c r="G206" s="12" t="n">
        <f aca="false">$E$23/$E$24</f>
        <v>0</v>
      </c>
      <c r="H206" s="12" t="n">
        <f aca="false">$E$23/$E$24</f>
        <v>0</v>
      </c>
      <c r="I206" s="12" t="n">
        <f aca="false">$E$23/$E$24</f>
        <v>0</v>
      </c>
      <c r="J206" s="12" t="n">
        <f aca="false">$E$23/$E$24</f>
        <v>0</v>
      </c>
      <c r="K206" s="12" t="n">
        <f aca="false">$E$23/$E$24</f>
        <v>0</v>
      </c>
      <c r="L206" s="12" t="n">
        <f aca="false">$E$23/$E$24</f>
        <v>0</v>
      </c>
      <c r="M206" s="12" t="n">
        <f aca="false">$E$23/$E$24</f>
        <v>0</v>
      </c>
      <c r="N206" s="12" t="n">
        <f aca="false">$E$23/$E$24</f>
        <v>0</v>
      </c>
      <c r="O206" s="12" t="n">
        <f aca="false">$E$23/$E$24</f>
        <v>0</v>
      </c>
      <c r="P206" s="12" t="n">
        <f aca="false">$E$23/$E$24</f>
        <v>0</v>
      </c>
      <c r="Q206" s="12" t="n">
        <f aca="false">$E$23/$E$24</f>
        <v>0</v>
      </c>
      <c r="R206" s="12" t="n">
        <f aca="false">$E$23/$E$24</f>
        <v>0</v>
      </c>
      <c r="S206" s="12" t="n">
        <f aca="false">$E$23/$E$24</f>
        <v>0</v>
      </c>
      <c r="T206" s="12" t="n">
        <f aca="false">$E$23/$E$24</f>
        <v>0</v>
      </c>
      <c r="U206" s="12" t="n">
        <f aca="false">$E$23/$E$24</f>
        <v>0</v>
      </c>
      <c r="V206" s="12" t="n">
        <f aca="false">$E$23/$E$24</f>
        <v>0</v>
      </c>
      <c r="W206" s="12" t="n">
        <f aca="false">$E$23/$E$24</f>
        <v>0</v>
      </c>
      <c r="X206" s="12" t="n">
        <f aca="false">$E$23/$E$24</f>
        <v>0</v>
      </c>
      <c r="Y206" s="12" t="n">
        <f aca="false">$E$23/$E$24</f>
        <v>0</v>
      </c>
      <c r="Z206" s="12" t="n">
        <f aca="false">$E$23/$E$24</f>
        <v>0</v>
      </c>
      <c r="AA206" s="12" t="n">
        <f aca="false">$E$23/$E$24</f>
        <v>0</v>
      </c>
      <c r="AB206" s="12" t="n">
        <f aca="false">$E$23/$E$24</f>
        <v>0</v>
      </c>
      <c r="AC206" s="12" t="n">
        <f aca="false">$E$23/$E$24</f>
        <v>0</v>
      </c>
      <c r="AD206" s="12" t="n">
        <f aca="false">$E$23/$E$24</f>
        <v>0</v>
      </c>
      <c r="AE206" s="12" t="n">
        <f aca="false">$E$23/$E$24</f>
        <v>0</v>
      </c>
      <c r="AF206" s="12" t="n">
        <f aca="false">$E$23/$E$24</f>
        <v>0</v>
      </c>
      <c r="AG206" s="12" t="n">
        <f aca="false">$E$23/$E$24</f>
        <v>0</v>
      </c>
      <c r="AH206" s="12" t="n">
        <f aca="false">$E$23/$E$24</f>
        <v>0</v>
      </c>
      <c r="AI206" s="12" t="n">
        <f aca="false">$E$23/$E$24</f>
        <v>0</v>
      </c>
      <c r="AJ206" s="12" t="n">
        <f aca="false">$E$23/$E$24</f>
        <v>0</v>
      </c>
      <c r="AK206" s="12" t="n">
        <f aca="false">$E$23/$E$24</f>
        <v>0</v>
      </c>
      <c r="AL206" s="12" t="n">
        <f aca="false">$E$23/$E$24</f>
        <v>0</v>
      </c>
      <c r="AM206" s="12" t="n">
        <f aca="false">$E$23/$E$24</f>
        <v>0</v>
      </c>
      <c r="AN206" s="12" t="n">
        <f aca="false">$E$23/$E$24</f>
        <v>0</v>
      </c>
      <c r="AO206" s="12" t="n">
        <f aca="false">$E$23/$E$24</f>
        <v>0</v>
      </c>
      <c r="AP206" s="12" t="n">
        <f aca="false">$E$23/$E$24</f>
        <v>0</v>
      </c>
      <c r="AQ206" s="12" t="n">
        <f aca="false">$E$23/$E$24</f>
        <v>0</v>
      </c>
      <c r="AR206" s="12" t="n">
        <f aca="false">$E$23/$E$24</f>
        <v>0</v>
      </c>
      <c r="AS206" s="12" t="n">
        <f aca="false">$E$23/$E$24</f>
        <v>0</v>
      </c>
      <c r="AT206" s="12" t="n">
        <f aca="false">$E$23/$E$24</f>
        <v>0</v>
      </c>
      <c r="AU206" s="12" t="n">
        <f aca="false">$E$23/$E$24</f>
        <v>0</v>
      </c>
      <c r="AV206" s="12" t="n">
        <f aca="false">$E$23/$E$24</f>
        <v>0</v>
      </c>
      <c r="AW206" s="12" t="n">
        <f aca="false">$E$23/$E$24</f>
        <v>0</v>
      </c>
      <c r="AX206" s="12" t="n">
        <f aca="false">$E$23/$E$24</f>
        <v>0</v>
      </c>
      <c r="AY206" s="12" t="n">
        <f aca="false">$E$23/$E$24</f>
        <v>0</v>
      </c>
      <c r="AZ206" s="12" t="n">
        <f aca="false">$E$23/$E$24</f>
        <v>0</v>
      </c>
      <c r="BA206" s="12" t="n">
        <f aca="false">$E$23/$E$24</f>
        <v>0</v>
      </c>
      <c r="BB206" s="12" t="n">
        <f aca="false">$E$23/$E$24</f>
        <v>0</v>
      </c>
      <c r="BC206" s="12" t="n">
        <f aca="false">$E$23/$E$24</f>
        <v>0</v>
      </c>
      <c r="BD206" s="12" t="n">
        <f aca="false">$E$23/$E$24</f>
        <v>0</v>
      </c>
      <c r="BE206" s="12" t="n">
        <f aca="false">$E$23/$E$24</f>
        <v>0</v>
      </c>
      <c r="BF206" s="12" t="n">
        <f aca="false">$E$23/$E$24</f>
        <v>0</v>
      </c>
      <c r="BG206" s="12" t="n">
        <f aca="false">$E$23/$E$24</f>
        <v>0</v>
      </c>
      <c r="BH206" s="12" t="n">
        <f aca="false">$E$23/$E$24</f>
        <v>0</v>
      </c>
      <c r="BI206" s="12" t="n">
        <f aca="false">$E$23/$E$24</f>
        <v>0</v>
      </c>
      <c r="BJ206" s="12" t="n">
        <f aca="false">$E$23/$E$24</f>
        <v>0</v>
      </c>
      <c r="BK206" s="12" t="n">
        <f aca="false">$E$23/$E$24</f>
        <v>0</v>
      </c>
    </row>
    <row r="207" customFormat="false" ht="15" hidden="false" customHeight="false" outlineLevel="0" collapsed="false">
      <c r="A207" s="0" t="s">
        <v>183</v>
      </c>
      <c r="D207" s="8" t="n">
        <f aca="false">C211*$E$31*$E$32</f>
        <v>0</v>
      </c>
      <c r="E207" s="8" t="n">
        <f aca="false">D211*$E$31*$E$32</f>
        <v>0</v>
      </c>
      <c r="F207" s="8" t="n">
        <f aca="false">E211*$E$31*$E$32</f>
        <v>0</v>
      </c>
      <c r="G207" s="8" t="n">
        <f aca="false">F211*$E$31*$E$32</f>
        <v>0</v>
      </c>
      <c r="H207" s="8" t="n">
        <f aca="false">G211*$E$31*$E$32</f>
        <v>0</v>
      </c>
      <c r="I207" s="8" t="n">
        <f aca="false">H211*$E$31*$E$32</f>
        <v>0</v>
      </c>
      <c r="J207" s="8" t="n">
        <f aca="false">I211*$E$31*$E$32</f>
        <v>0</v>
      </c>
      <c r="K207" s="8" t="n">
        <f aca="false">J211*$E$31*$E$32</f>
        <v>0</v>
      </c>
      <c r="L207" s="8" t="n">
        <f aca="false">K211*$E$31*$E$32</f>
        <v>0</v>
      </c>
      <c r="M207" s="8" t="n">
        <f aca="false">L211*$E$31*$E$32</f>
        <v>0</v>
      </c>
      <c r="N207" s="8" t="n">
        <f aca="false">M211*$E$31*$E$32</f>
        <v>0</v>
      </c>
      <c r="O207" s="8" t="n">
        <f aca="false">N211*$E$31*$E$32</f>
        <v>0</v>
      </c>
      <c r="P207" s="8" t="n">
        <f aca="false">O211*$E$31*$E$32</f>
        <v>0</v>
      </c>
      <c r="Q207" s="8" t="n">
        <f aca="false">P211*$E$31*$E$32</f>
        <v>0</v>
      </c>
      <c r="R207" s="8" t="n">
        <f aca="false">Q211*$E$31*$E$32</f>
        <v>0</v>
      </c>
      <c r="S207" s="8" t="n">
        <f aca="false">R211*$E$31*$E$32</f>
        <v>0</v>
      </c>
      <c r="T207" s="8" t="n">
        <f aca="false">S211*$E$31*$E$32</f>
        <v>0</v>
      </c>
      <c r="U207" s="8" t="n">
        <f aca="false">T211*$E$31*$E$32</f>
        <v>0</v>
      </c>
      <c r="V207" s="8" t="n">
        <f aca="false">U211*$E$31*$E$32</f>
        <v>0</v>
      </c>
      <c r="W207" s="8" t="n">
        <f aca="false">V211*$E$31*$E$32</f>
        <v>0</v>
      </c>
      <c r="X207" s="8" t="n">
        <f aca="false">W211*$E$31*$E$32</f>
        <v>0</v>
      </c>
      <c r="Y207" s="8" t="n">
        <f aca="false">X211*$E$31*$E$32</f>
        <v>0</v>
      </c>
      <c r="Z207" s="8" t="n">
        <f aca="false">Y211*$E$31*$E$32</f>
        <v>0</v>
      </c>
      <c r="AA207" s="8" t="n">
        <f aca="false">Z211*$E$31*$E$32</f>
        <v>0</v>
      </c>
      <c r="AB207" s="8" t="n">
        <f aca="false">AA211*$E$31*$E$32</f>
        <v>0</v>
      </c>
      <c r="AC207" s="8" t="n">
        <f aca="false">AB211*$E$31*$E$32</f>
        <v>0</v>
      </c>
      <c r="AD207" s="8" t="n">
        <f aca="false">AC211*$E$31*$E$32</f>
        <v>0</v>
      </c>
      <c r="AE207" s="8" t="n">
        <f aca="false">AD211*$E$31*$E$32</f>
        <v>0</v>
      </c>
      <c r="AF207" s="8" t="n">
        <f aca="false">AE211*$E$31*$E$32</f>
        <v>0</v>
      </c>
      <c r="AG207" s="8" t="n">
        <f aca="false">AF211*$E$31*$E$32</f>
        <v>0</v>
      </c>
      <c r="AH207" s="8" t="n">
        <f aca="false">AG211*$E$31*$E$32</f>
        <v>0</v>
      </c>
      <c r="AI207" s="8" t="n">
        <f aca="false">AH211*$E$31*$E$32</f>
        <v>0</v>
      </c>
      <c r="AJ207" s="8" t="n">
        <f aca="false">AI211*$E$31*$E$32</f>
        <v>0</v>
      </c>
      <c r="AK207" s="8" t="n">
        <f aca="false">AJ211*$E$31*$E$32</f>
        <v>0</v>
      </c>
      <c r="AL207" s="8" t="n">
        <f aca="false">AK211*$E$31*$E$32</f>
        <v>0</v>
      </c>
      <c r="AM207" s="8" t="n">
        <f aca="false">AL211*$E$31*$E$32</f>
        <v>0</v>
      </c>
      <c r="AN207" s="8" t="n">
        <f aca="false">AM211*$E$31*$E$32</f>
        <v>0</v>
      </c>
      <c r="AO207" s="8" t="n">
        <f aca="false">AN211*$E$31*$E$32</f>
        <v>0</v>
      </c>
      <c r="AP207" s="8" t="n">
        <f aca="false">AO211*$E$31*$E$32</f>
        <v>0</v>
      </c>
      <c r="AQ207" s="8" t="n">
        <f aca="false">AP211*$E$31*$E$32</f>
        <v>0</v>
      </c>
      <c r="AR207" s="8" t="n">
        <f aca="false">AQ211*$E$31*$E$32</f>
        <v>0</v>
      </c>
      <c r="AS207" s="8" t="n">
        <f aca="false">AR211*$E$31*$E$32</f>
        <v>0</v>
      </c>
      <c r="AT207" s="8" t="n">
        <f aca="false">AS211*$E$31*$E$32</f>
        <v>0</v>
      </c>
      <c r="AU207" s="8" t="n">
        <f aca="false">AT211*$E$31*$E$32</f>
        <v>0</v>
      </c>
      <c r="AV207" s="8" t="n">
        <f aca="false">AU211*$E$31*$E$32</f>
        <v>0</v>
      </c>
      <c r="AW207" s="8" t="n">
        <f aca="false">AV211*$E$31*$E$32</f>
        <v>0</v>
      </c>
      <c r="AX207" s="8" t="n">
        <f aca="false">AW211*$E$31*$E$32</f>
        <v>0</v>
      </c>
      <c r="AY207" s="8" t="n">
        <f aca="false">AX211*$E$31*$E$32</f>
        <v>0</v>
      </c>
      <c r="AZ207" s="8" t="n">
        <f aca="false">AY211*$E$31*$E$32</f>
        <v>0</v>
      </c>
      <c r="BA207" s="8" t="n">
        <f aca="false">AZ211*$E$31*$E$32</f>
        <v>0</v>
      </c>
      <c r="BB207" s="8" t="n">
        <f aca="false">BA211*$E$31*$E$32</f>
        <v>0</v>
      </c>
      <c r="BC207" s="8" t="n">
        <f aca="false">BB211*$E$31*$E$32</f>
        <v>0</v>
      </c>
      <c r="BD207" s="8" t="n">
        <f aca="false">BC211*$E$31*$E$32</f>
        <v>0</v>
      </c>
      <c r="BE207" s="8" t="n">
        <f aca="false">BD211*$E$31*$E$32</f>
        <v>0</v>
      </c>
      <c r="BF207" s="8" t="n">
        <f aca="false">BE211*$E$31*$E$32</f>
        <v>0</v>
      </c>
      <c r="BG207" s="8" t="n">
        <f aca="false">BF211*$E$31*$E$32</f>
        <v>0</v>
      </c>
      <c r="BH207" s="8" t="n">
        <f aca="false">BG211*$E$31*$E$32</f>
        <v>0</v>
      </c>
      <c r="BI207" s="8" t="n">
        <f aca="false">BH211*$E$31*$E$32</f>
        <v>0</v>
      </c>
      <c r="BJ207" s="8" t="n">
        <f aca="false">BI211*$E$31*$E$32</f>
        <v>0</v>
      </c>
      <c r="BK207" s="8" t="n">
        <f aca="false">BJ211*$E$31*$E$32</f>
        <v>0</v>
      </c>
    </row>
    <row r="208" customFormat="false" ht="15" hidden="false" customHeight="false" outlineLevel="0" collapsed="false">
      <c r="A208" s="0" t="s">
        <v>184</v>
      </c>
      <c r="D208" s="12" t="n">
        <f aca="false">D205+D206</f>
        <v>4000</v>
      </c>
      <c r="E208" s="12" t="n">
        <f aca="false">E205+E206</f>
        <v>4560</v>
      </c>
      <c r="F208" s="12" t="n">
        <f aca="false">F205+F206</f>
        <v>5198.4</v>
      </c>
      <c r="G208" s="12" t="n">
        <f aca="false">G205+G206</f>
        <v>5926.176</v>
      </c>
      <c r="H208" s="12" t="n">
        <f aca="false">H205+H206</f>
        <v>6755.84064</v>
      </c>
      <c r="I208" s="12" t="n">
        <f aca="false">I205+I206</f>
        <v>7701.6583296</v>
      </c>
      <c r="J208" s="12" t="n">
        <f aca="false">J205+J206</f>
        <v>8779.89049574401</v>
      </c>
      <c r="K208" s="12" t="n">
        <f aca="false">K205+K206</f>
        <v>10009.0751651482</v>
      </c>
      <c r="L208" s="12" t="n">
        <f aca="false">L205+L206</f>
        <v>11410.3456882689</v>
      </c>
      <c r="M208" s="12" t="n">
        <f aca="false">M205+M206</f>
        <v>13007.7940846266</v>
      </c>
      <c r="N208" s="12" t="n">
        <f aca="false">N205+N206</f>
        <v>14828.8852564743</v>
      </c>
      <c r="O208" s="12" t="n">
        <f aca="false">O205+O206</f>
        <v>16904.9291923807</v>
      </c>
      <c r="P208" s="12" t="n">
        <f aca="false">P205+P206</f>
        <v>19271.619279314</v>
      </c>
      <c r="Q208" s="12" t="n">
        <f aca="false">Q205+Q206</f>
        <v>21969.6459784179</v>
      </c>
      <c r="R208" s="12" t="n">
        <f aca="false">R205+R206</f>
        <v>25045.3964153965</v>
      </c>
      <c r="S208" s="12" t="n">
        <f aca="false">S205+S206</f>
        <v>28551.751913552</v>
      </c>
      <c r="T208" s="12" t="n">
        <f aca="false">T205+T206</f>
        <v>32548.9971814492</v>
      </c>
      <c r="U208" s="12" t="n">
        <f aca="false">U205+U206</f>
        <v>37105.8567868521</v>
      </c>
      <c r="V208" s="12" t="n">
        <f aca="false">V205+V206</f>
        <v>42300.6767370115</v>
      </c>
      <c r="W208" s="12" t="n">
        <f aca="false">W205+W206</f>
        <v>48222.7714801931</v>
      </c>
      <c r="X208" s="12" t="n">
        <f aca="false">X205+X206</f>
        <v>54973.9594874201</v>
      </c>
      <c r="Y208" s="12" t="n">
        <f aca="false">Y205+Y206</f>
        <v>62670.3138156589</v>
      </c>
      <c r="Z208" s="12" t="n">
        <f aca="false">Z205+Z206</f>
        <v>71444.1577498512</v>
      </c>
      <c r="AA208" s="12" t="n">
        <f aca="false">AA205+AA206</f>
        <v>81446.3398348303</v>
      </c>
      <c r="AB208" s="12" t="n">
        <f aca="false">AB205+AB206</f>
        <v>92848.8274117066</v>
      </c>
      <c r="AC208" s="12" t="n">
        <f aca="false">AC205+AC206</f>
        <v>105847.663249346</v>
      </c>
      <c r="AD208" s="12" t="n">
        <f aca="false">AD205+AD206</f>
        <v>120666.336104254</v>
      </c>
      <c r="AE208" s="12" t="n">
        <f aca="false">AE205+AE206</f>
        <v>137559.623158849</v>
      </c>
      <c r="AF208" s="12" t="n">
        <f aca="false">AF205+AF206</f>
        <v>156817.970401088</v>
      </c>
      <c r="AG208" s="12" t="n">
        <f aca="false">AG205+AG206</f>
        <v>178772.486257241</v>
      </c>
      <c r="AH208" s="12" t="n">
        <f aca="false">AH205+AH206</f>
        <v>203800.634333255</v>
      </c>
      <c r="AI208" s="12" t="n">
        <f aca="false">AI205+AI206</f>
        <v>232332.72313991</v>
      </c>
      <c r="AJ208" s="12" t="n">
        <f aca="false">AJ205+AJ206</f>
        <v>264859.304379498</v>
      </c>
      <c r="AK208" s="12" t="n">
        <f aca="false">AK205+AK206</f>
        <v>301939.606992627</v>
      </c>
      <c r="AL208" s="12" t="n">
        <f aca="false">AL205+AL206</f>
        <v>344211.151971595</v>
      </c>
      <c r="AM208" s="12" t="n">
        <f aca="false">AM205+AM206</f>
        <v>392400.713247619</v>
      </c>
      <c r="AN208" s="12" t="n">
        <f aca="false">AN205+AN206</f>
        <v>400000</v>
      </c>
      <c r="AO208" s="12" t="n">
        <f aca="false">AO205+AO206</f>
        <v>400000</v>
      </c>
      <c r="AP208" s="12" t="n">
        <f aca="false">AP205+AP206</f>
        <v>400000</v>
      </c>
      <c r="AQ208" s="12" t="n">
        <f aca="false">AQ205+AQ206</f>
        <v>400000</v>
      </c>
      <c r="AR208" s="12" t="n">
        <f aca="false">AR205+AR206</f>
        <v>400000</v>
      </c>
      <c r="AS208" s="12" t="n">
        <f aca="false">AS205+AS206</f>
        <v>400000</v>
      </c>
      <c r="AT208" s="12" t="n">
        <f aca="false">AT205+AT206</f>
        <v>400000</v>
      </c>
      <c r="AU208" s="12" t="n">
        <f aca="false">AU205+AU206</f>
        <v>400000</v>
      </c>
      <c r="AV208" s="12" t="n">
        <f aca="false">AV205+AV206</f>
        <v>400000</v>
      </c>
      <c r="AW208" s="12" t="n">
        <f aca="false">AW205+AW206</f>
        <v>400000</v>
      </c>
      <c r="AX208" s="12" t="n">
        <f aca="false">AX205+AX206</f>
        <v>400000</v>
      </c>
      <c r="AY208" s="12" t="n">
        <f aca="false">AY205+AY206</f>
        <v>400000</v>
      </c>
      <c r="AZ208" s="12" t="n">
        <f aca="false">AZ205+AZ206</f>
        <v>400000</v>
      </c>
      <c r="BA208" s="12" t="n">
        <f aca="false">BA205+BA206</f>
        <v>400000</v>
      </c>
      <c r="BB208" s="12" t="n">
        <f aca="false">BB205+BB206</f>
        <v>400000</v>
      </c>
      <c r="BC208" s="12" t="n">
        <f aca="false">BC205+BC206</f>
        <v>400000</v>
      </c>
      <c r="BD208" s="12" t="n">
        <f aca="false">BD205+BD206</f>
        <v>400000</v>
      </c>
      <c r="BE208" s="12" t="n">
        <f aca="false">BE205+BE206</f>
        <v>400000</v>
      </c>
      <c r="BF208" s="12" t="n">
        <f aca="false">BF205+BF206</f>
        <v>400000</v>
      </c>
      <c r="BG208" s="12" t="n">
        <f aca="false">BG205+BG206</f>
        <v>400000</v>
      </c>
      <c r="BH208" s="12" t="n">
        <f aca="false">BH205+BH206</f>
        <v>400000</v>
      </c>
      <c r="BI208" s="12" t="n">
        <f aca="false">BI205+BI206</f>
        <v>400000</v>
      </c>
      <c r="BJ208" s="12" t="n">
        <f aca="false">BJ205+BJ206</f>
        <v>400000</v>
      </c>
      <c r="BK208" s="12" t="n">
        <f aca="false">BK205+BK206</f>
        <v>400000</v>
      </c>
    </row>
    <row r="209" customFormat="false" ht="15" hidden="false" customHeight="false" outlineLevel="0" collapsed="false">
      <c r="A209" s="0" t="s">
        <v>185</v>
      </c>
      <c r="D209" s="8" t="n">
        <f aca="false">D208*$E$25+D207</f>
        <v>160</v>
      </c>
      <c r="E209" s="8" t="n">
        <f aca="false">E208*$E$25+E207</f>
        <v>182.4</v>
      </c>
      <c r="F209" s="8" t="n">
        <f aca="false">F208*$E$25+F207</f>
        <v>207.936</v>
      </c>
      <c r="G209" s="8" t="n">
        <f aca="false">G208*$E$25+G207</f>
        <v>237.04704</v>
      </c>
      <c r="H209" s="8" t="n">
        <f aca="false">H208*$E$25+H207</f>
        <v>270.2336256</v>
      </c>
      <c r="I209" s="8" t="n">
        <f aca="false">I208*$E$25+I207</f>
        <v>308.066333184</v>
      </c>
      <c r="J209" s="8" t="n">
        <f aca="false">J208*$E$25+J207</f>
        <v>351.19561982976</v>
      </c>
      <c r="K209" s="8" t="n">
        <f aca="false">K208*$E$25+K207</f>
        <v>400.363006605927</v>
      </c>
      <c r="L209" s="8" t="n">
        <f aca="false">L208*$E$25+L207</f>
        <v>456.413827530756</v>
      </c>
      <c r="M209" s="8" t="n">
        <f aca="false">M208*$E$25+M207</f>
        <v>520.311763385063</v>
      </c>
      <c r="N209" s="8" t="n">
        <f aca="false">N208*$E$25+N207</f>
        <v>593.155410258971</v>
      </c>
      <c r="O209" s="8" t="n">
        <f aca="false">O208*$E$25+O207</f>
        <v>676.197167695227</v>
      </c>
      <c r="P209" s="8" t="n">
        <f aca="false">P208*$E$25+P207</f>
        <v>770.864771172559</v>
      </c>
      <c r="Q209" s="8" t="n">
        <f aca="false">Q208*$E$25+Q207</f>
        <v>878.785839136718</v>
      </c>
      <c r="R209" s="8" t="n">
        <f aca="false">R208*$E$25+R207</f>
        <v>1001.81585661586</v>
      </c>
      <c r="S209" s="8" t="n">
        <f aca="false">S208*$E$25+S207</f>
        <v>1142.07007654208</v>
      </c>
      <c r="T209" s="8" t="n">
        <f aca="false">T208*$E$25+T207</f>
        <v>1301.95988725797</v>
      </c>
      <c r="U209" s="8" t="n">
        <f aca="false">U208*$E$25+U207</f>
        <v>1484.23427147409</v>
      </c>
      <c r="V209" s="8" t="n">
        <f aca="false">V208*$E$25+V207</f>
        <v>1692.02706948046</v>
      </c>
      <c r="W209" s="8" t="n">
        <f aca="false">W208*$E$25+W207</f>
        <v>1928.91085920772</v>
      </c>
      <c r="X209" s="8" t="n">
        <f aca="false">X208*$E$25+X207</f>
        <v>2198.9583794968</v>
      </c>
      <c r="Y209" s="8" t="n">
        <f aca="false">Y208*$E$25+Y207</f>
        <v>2506.81255262636</v>
      </c>
      <c r="Z209" s="8" t="n">
        <f aca="false">Z208*$E$25+Z207</f>
        <v>2857.76630999405</v>
      </c>
      <c r="AA209" s="8" t="n">
        <f aca="false">AA208*$E$25+AA207</f>
        <v>3257.85359339321</v>
      </c>
      <c r="AB209" s="8" t="n">
        <f aca="false">AB208*$E$25+AB207</f>
        <v>3713.95309646826</v>
      </c>
      <c r="AC209" s="8" t="n">
        <f aca="false">AC208*$E$25+AC207</f>
        <v>4233.90652997382</v>
      </c>
      <c r="AD209" s="8" t="n">
        <f aca="false">AD208*$E$25+AD207</f>
        <v>4826.65344417016</v>
      </c>
      <c r="AE209" s="8" t="n">
        <f aca="false">AE208*$E$25+AE207</f>
        <v>5502.38492635398</v>
      </c>
      <c r="AF209" s="8" t="n">
        <f aca="false">AF208*$E$25+AF207</f>
        <v>6272.71881604354</v>
      </c>
      <c r="AG209" s="8" t="n">
        <f aca="false">AG208*$E$25+AG207</f>
        <v>7150.89945028963</v>
      </c>
      <c r="AH209" s="8" t="n">
        <f aca="false">AH208*$E$25+AH207</f>
        <v>8152.02537333018</v>
      </c>
      <c r="AI209" s="8" t="n">
        <f aca="false">AI208*$E$25+AI207</f>
        <v>9293.30892559641</v>
      </c>
      <c r="AJ209" s="8" t="n">
        <f aca="false">AJ208*$E$25+AJ207</f>
        <v>10594.3721751799</v>
      </c>
      <c r="AK209" s="8" t="n">
        <f aca="false">AK208*$E$25+AK207</f>
        <v>12077.5842797051</v>
      </c>
      <c r="AL209" s="8" t="n">
        <f aca="false">AL208*$E$25+AL207</f>
        <v>13768.4460788638</v>
      </c>
      <c r="AM209" s="8" t="n">
        <f aca="false">AM208*$E$25+AM207</f>
        <v>15696.0285299047</v>
      </c>
      <c r="AN209" s="8" t="n">
        <f aca="false">AN208*$E$25+AN207</f>
        <v>16000</v>
      </c>
      <c r="AO209" s="8" t="n">
        <f aca="false">AO208*$E$25+AO207</f>
        <v>16000</v>
      </c>
      <c r="AP209" s="8" t="n">
        <f aca="false">AP208*$E$25+AP207</f>
        <v>16000</v>
      </c>
      <c r="AQ209" s="8" t="n">
        <f aca="false">AQ208*$E$25+AQ207</f>
        <v>16000</v>
      </c>
      <c r="AR209" s="8" t="n">
        <f aca="false">AR208*$E$25+AR207</f>
        <v>16000</v>
      </c>
      <c r="AS209" s="8" t="n">
        <f aca="false">AS208*$E$25+AS207</f>
        <v>16000</v>
      </c>
      <c r="AT209" s="8" t="n">
        <f aca="false">AT208*$E$25+AT207</f>
        <v>16000</v>
      </c>
      <c r="AU209" s="8" t="n">
        <f aca="false">AU208*$E$25+AU207</f>
        <v>16000</v>
      </c>
      <c r="AV209" s="8" t="n">
        <f aca="false">AV208*$E$25+AV207</f>
        <v>16000</v>
      </c>
      <c r="AW209" s="8" t="n">
        <f aca="false">AW208*$E$25+AW207</f>
        <v>16000</v>
      </c>
      <c r="AX209" s="8" t="n">
        <f aca="false">AX208*$E$25+AX207</f>
        <v>16000</v>
      </c>
      <c r="AY209" s="8" t="n">
        <f aca="false">AY208*$E$25+AY207</f>
        <v>16000</v>
      </c>
      <c r="AZ209" s="8" t="n">
        <f aca="false">AZ208*$E$25+AZ207</f>
        <v>16000</v>
      </c>
      <c r="BA209" s="8" t="n">
        <f aca="false">BA208*$E$25+BA207</f>
        <v>16000</v>
      </c>
      <c r="BB209" s="8" t="n">
        <f aca="false">BB208*$E$25+BB207</f>
        <v>16000</v>
      </c>
      <c r="BC209" s="8" t="n">
        <f aca="false">BC208*$E$25+BC207</f>
        <v>16000</v>
      </c>
      <c r="BD209" s="8" t="n">
        <f aca="false">BD208*$E$25+BD207</f>
        <v>16000</v>
      </c>
      <c r="BE209" s="8" t="n">
        <f aca="false">BE208*$E$25+BE207</f>
        <v>16000</v>
      </c>
      <c r="BF209" s="8" t="n">
        <f aca="false">BF208*$E$25+BF207</f>
        <v>16000</v>
      </c>
      <c r="BG209" s="8" t="n">
        <f aca="false">BG208*$E$25+BG207</f>
        <v>16000</v>
      </c>
      <c r="BH209" s="8" t="n">
        <f aca="false">BH208*$E$25+BH207</f>
        <v>16000</v>
      </c>
      <c r="BI209" s="8" t="n">
        <f aca="false">BI208*$E$25+BI207</f>
        <v>16000</v>
      </c>
      <c r="BJ209" s="8" t="n">
        <f aca="false">BJ208*$E$25+BJ207</f>
        <v>16000</v>
      </c>
      <c r="BK209" s="8" t="n">
        <f aca="false">BK208*$E$25+BK207</f>
        <v>16000</v>
      </c>
    </row>
    <row r="210" customFormat="false" ht="15" hidden="false" customHeight="false" outlineLevel="0" collapsed="false">
      <c r="A210" s="0" t="s">
        <v>186</v>
      </c>
      <c r="D210" s="8" t="n">
        <f aca="false">D209*$E$26</f>
        <v>88</v>
      </c>
      <c r="E210" s="8" t="n">
        <f aca="false">E209*$E$26</f>
        <v>100.32</v>
      </c>
      <c r="F210" s="8" t="n">
        <f aca="false">F209*$E$26</f>
        <v>114.3648</v>
      </c>
      <c r="G210" s="8" t="n">
        <f aca="false">G209*$E$26</f>
        <v>130.375872</v>
      </c>
      <c r="H210" s="8" t="n">
        <f aca="false">H209*$E$26</f>
        <v>148.62849408</v>
      </c>
      <c r="I210" s="8" t="n">
        <f aca="false">I209*$E$26</f>
        <v>169.4364832512</v>
      </c>
      <c r="J210" s="8" t="n">
        <f aca="false">J209*$E$26</f>
        <v>193.157590906368</v>
      </c>
      <c r="K210" s="8" t="n">
        <f aca="false">K209*$E$26</f>
        <v>220.19965363326</v>
      </c>
      <c r="L210" s="8" t="n">
        <f aca="false">L209*$E$26</f>
        <v>251.027605141916</v>
      </c>
      <c r="M210" s="8" t="n">
        <f aca="false">M209*$E$26</f>
        <v>286.171469861784</v>
      </c>
      <c r="N210" s="8" t="n">
        <f aca="false">N209*$E$26</f>
        <v>326.235475642434</v>
      </c>
      <c r="O210" s="8" t="n">
        <f aca="false">O209*$E$26</f>
        <v>371.908442232375</v>
      </c>
      <c r="P210" s="8" t="n">
        <f aca="false">P209*$E$26</f>
        <v>423.975624144908</v>
      </c>
      <c r="Q210" s="8" t="n">
        <f aca="false">Q209*$E$26</f>
        <v>483.332211525195</v>
      </c>
      <c r="R210" s="8" t="n">
        <f aca="false">R209*$E$26</f>
        <v>550.998721138722</v>
      </c>
      <c r="S210" s="8" t="n">
        <f aca="false">S209*$E$26</f>
        <v>628.138542098143</v>
      </c>
      <c r="T210" s="8" t="n">
        <f aca="false">T209*$E$26</f>
        <v>716.077937991883</v>
      </c>
      <c r="U210" s="8" t="n">
        <f aca="false">U209*$E$26</f>
        <v>816.328849310747</v>
      </c>
      <c r="V210" s="8" t="n">
        <f aca="false">V209*$E$26</f>
        <v>930.614888214252</v>
      </c>
      <c r="W210" s="8" t="n">
        <f aca="false">W209*$E$26</f>
        <v>1060.90097256425</v>
      </c>
      <c r="X210" s="8" t="n">
        <f aca="false">X209*$E$26</f>
        <v>1209.42710872324</v>
      </c>
      <c r="Y210" s="8" t="n">
        <f aca="false">Y209*$E$26</f>
        <v>1378.7469039445</v>
      </c>
      <c r="Z210" s="8" t="n">
        <f aca="false">Z209*$E$26</f>
        <v>1571.77147049673</v>
      </c>
      <c r="AA210" s="8" t="n">
        <f aca="false">AA209*$E$26</f>
        <v>1791.81947636627</v>
      </c>
      <c r="AB210" s="8" t="n">
        <f aca="false">AB209*$E$26</f>
        <v>2042.67420305755</v>
      </c>
      <c r="AC210" s="8" t="n">
        <f aca="false">AC209*$E$26</f>
        <v>2328.6485914856</v>
      </c>
      <c r="AD210" s="8" t="n">
        <f aca="false">AD209*$E$26</f>
        <v>2654.65939429359</v>
      </c>
      <c r="AE210" s="8" t="n">
        <f aca="false">AE209*$E$26</f>
        <v>3026.31170949469</v>
      </c>
      <c r="AF210" s="8" t="n">
        <f aca="false">AF209*$E$26</f>
        <v>3449.99534882395</v>
      </c>
      <c r="AG210" s="8" t="n">
        <f aca="false">AG209*$E$26</f>
        <v>3932.9946976593</v>
      </c>
      <c r="AH210" s="8" t="n">
        <f aca="false">AH209*$E$26</f>
        <v>4483.6139553316</v>
      </c>
      <c r="AI210" s="8" t="n">
        <f aca="false">AI209*$E$26</f>
        <v>5111.31990907802</v>
      </c>
      <c r="AJ210" s="8" t="n">
        <f aca="false">AJ209*$E$26</f>
        <v>5826.90469634895</v>
      </c>
      <c r="AK210" s="8" t="n">
        <f aca="false">AK209*$E$26</f>
        <v>6642.6713538378</v>
      </c>
      <c r="AL210" s="8" t="n">
        <f aca="false">AL209*$E$26</f>
        <v>7572.6453433751</v>
      </c>
      <c r="AM210" s="8" t="n">
        <f aca="false">AM209*$E$26</f>
        <v>8632.81569144761</v>
      </c>
      <c r="AN210" s="8" t="n">
        <f aca="false">AN209*$E$26</f>
        <v>8800</v>
      </c>
      <c r="AO210" s="8" t="n">
        <f aca="false">AO209*$E$26</f>
        <v>8800</v>
      </c>
      <c r="AP210" s="8" t="n">
        <f aca="false">AP209*$E$26</f>
        <v>8800</v>
      </c>
      <c r="AQ210" s="8" t="n">
        <f aca="false">AQ209*$E$26</f>
        <v>8800</v>
      </c>
      <c r="AR210" s="8" t="n">
        <f aca="false">AR209*$E$26</f>
        <v>8800</v>
      </c>
      <c r="AS210" s="8" t="n">
        <f aca="false">AS209*$E$26</f>
        <v>8800</v>
      </c>
      <c r="AT210" s="8" t="n">
        <f aca="false">AT209*$E$26</f>
        <v>8800</v>
      </c>
      <c r="AU210" s="8" t="n">
        <f aca="false">AU209*$E$26</f>
        <v>8800</v>
      </c>
      <c r="AV210" s="8" t="n">
        <f aca="false">AV209*$E$26</f>
        <v>8800</v>
      </c>
      <c r="AW210" s="8" t="n">
        <f aca="false">AW209*$E$26</f>
        <v>8800</v>
      </c>
      <c r="AX210" s="8" t="n">
        <f aca="false">AX209*$E$26</f>
        <v>8800</v>
      </c>
      <c r="AY210" s="8" t="n">
        <f aca="false">AY209*$E$26</f>
        <v>8800</v>
      </c>
      <c r="AZ210" s="8" t="n">
        <f aca="false">AZ209*$E$26</f>
        <v>8800</v>
      </c>
      <c r="BA210" s="8" t="n">
        <f aca="false">BA209*$E$26</f>
        <v>8800</v>
      </c>
      <c r="BB210" s="8" t="n">
        <f aca="false">BB209*$E$26</f>
        <v>8800</v>
      </c>
      <c r="BC210" s="8" t="n">
        <f aca="false">BC209*$E$26</f>
        <v>8800</v>
      </c>
      <c r="BD210" s="8" t="n">
        <f aca="false">BD209*$E$26</f>
        <v>8800</v>
      </c>
      <c r="BE210" s="8" t="n">
        <f aca="false">BE209*$E$26</f>
        <v>8800</v>
      </c>
      <c r="BF210" s="8" t="n">
        <f aca="false">BF209*$E$26</f>
        <v>8800</v>
      </c>
      <c r="BG210" s="8" t="n">
        <f aca="false">BG209*$E$26</f>
        <v>8800</v>
      </c>
      <c r="BH210" s="8" t="n">
        <f aca="false">BH209*$E$26</f>
        <v>8800</v>
      </c>
      <c r="BI210" s="8" t="n">
        <f aca="false">BI209*$E$26</f>
        <v>8800</v>
      </c>
      <c r="BJ210" s="8" t="n">
        <f aca="false">BJ209*$E$26</f>
        <v>8800</v>
      </c>
      <c r="BK210" s="8" t="n">
        <f aca="false">BK209*$E$26</f>
        <v>8800</v>
      </c>
    </row>
    <row r="211" customFormat="false" ht="15" hidden="false" customHeight="false" outlineLevel="0" collapsed="false">
      <c r="A211" s="0" t="s">
        <v>187</v>
      </c>
      <c r="C211" s="0" t="n">
        <v>0</v>
      </c>
      <c r="D211" s="51" t="n">
        <f aca="false">D210*$E$27</f>
        <v>6.16</v>
      </c>
      <c r="E211" s="51" t="n">
        <f aca="false">E210*$E$27</f>
        <v>7.0224</v>
      </c>
      <c r="F211" s="51" t="n">
        <f aca="false">F210*$E$27</f>
        <v>8.00553600000001</v>
      </c>
      <c r="G211" s="51" t="n">
        <f aca="false">G210*$E$27</f>
        <v>9.12631104</v>
      </c>
      <c r="H211" s="51" t="n">
        <f aca="false">H210*$E$27</f>
        <v>10.4039945856</v>
      </c>
      <c r="I211" s="51" t="n">
        <f aca="false">I210*$E$27</f>
        <v>11.860553827584</v>
      </c>
      <c r="J211" s="51" t="n">
        <f aca="false">J210*$E$27</f>
        <v>13.5210313634458</v>
      </c>
      <c r="K211" s="51" t="n">
        <f aca="false">K210*$E$27</f>
        <v>15.4139757543282</v>
      </c>
      <c r="L211" s="51" t="n">
        <f aca="false">L210*$E$27</f>
        <v>17.5719323599341</v>
      </c>
      <c r="M211" s="51" t="n">
        <f aca="false">M210*$E$27</f>
        <v>20.0320028903249</v>
      </c>
      <c r="N211" s="51" t="n">
        <f aca="false">N210*$E$27</f>
        <v>22.8364832949704</v>
      </c>
      <c r="O211" s="51" t="n">
        <f aca="false">O210*$E$27</f>
        <v>26.0335909562663</v>
      </c>
      <c r="P211" s="51" t="n">
        <f aca="false">P210*$E$27</f>
        <v>29.6782936901435</v>
      </c>
      <c r="Q211" s="51" t="n">
        <f aca="false">Q210*$E$27</f>
        <v>33.8332548067636</v>
      </c>
      <c r="R211" s="51" t="n">
        <f aca="false">R210*$E$27</f>
        <v>38.5699104797106</v>
      </c>
      <c r="S211" s="51" t="n">
        <f aca="false">S210*$E$27</f>
        <v>43.96969794687</v>
      </c>
      <c r="T211" s="51" t="n">
        <f aca="false">T210*$E$27</f>
        <v>50.1254556594318</v>
      </c>
      <c r="U211" s="51" t="n">
        <f aca="false">U210*$E$27</f>
        <v>57.1430194517523</v>
      </c>
      <c r="V211" s="51" t="n">
        <f aca="false">V210*$E$27</f>
        <v>65.1430421749976</v>
      </c>
      <c r="W211" s="51" t="n">
        <f aca="false">W210*$E$27</f>
        <v>74.2630680794973</v>
      </c>
      <c r="X211" s="51" t="n">
        <f aca="false">X210*$E$27</f>
        <v>84.659897610627</v>
      </c>
      <c r="Y211" s="51" t="n">
        <f aca="false">Y210*$E$27</f>
        <v>96.5122832761147</v>
      </c>
      <c r="Z211" s="51" t="n">
        <f aca="false">Z210*$E$27</f>
        <v>110.024002934771</v>
      </c>
      <c r="AA211" s="51" t="n">
        <f aca="false">AA210*$E$27</f>
        <v>125.427363345639</v>
      </c>
      <c r="AB211" s="51" t="n">
        <f aca="false">AB210*$E$27</f>
        <v>142.987194214028</v>
      </c>
      <c r="AC211" s="51" t="n">
        <f aca="false">AC210*$E$27</f>
        <v>163.005401403992</v>
      </c>
      <c r="AD211" s="51" t="n">
        <f aca="false">AD210*$E$27</f>
        <v>185.826157600551</v>
      </c>
      <c r="AE211" s="51" t="n">
        <f aca="false">AE210*$E$27</f>
        <v>211.841819664628</v>
      </c>
      <c r="AF211" s="51" t="n">
        <f aca="false">AF210*$E$27</f>
        <v>241.499674417676</v>
      </c>
      <c r="AG211" s="51" t="n">
        <f aca="false">AG210*$E$27</f>
        <v>275.309628836151</v>
      </c>
      <c r="AH211" s="51" t="n">
        <f aca="false">AH210*$E$27</f>
        <v>313.852976873212</v>
      </c>
      <c r="AI211" s="51" t="n">
        <f aca="false">AI210*$E$27</f>
        <v>357.792393635462</v>
      </c>
      <c r="AJ211" s="51" t="n">
        <f aca="false">AJ210*$E$27</f>
        <v>407.883328744427</v>
      </c>
      <c r="AK211" s="51" t="n">
        <f aca="false">AK210*$E$27</f>
        <v>464.986994768646</v>
      </c>
      <c r="AL211" s="51" t="n">
        <f aca="false">AL210*$E$27</f>
        <v>530.085174036257</v>
      </c>
      <c r="AM211" s="51" t="n">
        <f aca="false">AM210*$E$27</f>
        <v>604.297098401333</v>
      </c>
      <c r="AN211" s="51" t="n">
        <f aca="false">AN210*$E$27</f>
        <v>616</v>
      </c>
      <c r="AO211" s="51" t="n">
        <f aca="false">AO210*$E$27</f>
        <v>616</v>
      </c>
      <c r="AP211" s="51" t="n">
        <f aca="false">AP210*$E$27</f>
        <v>616</v>
      </c>
      <c r="AQ211" s="51" t="n">
        <f aca="false">AQ210*$E$27</f>
        <v>616</v>
      </c>
      <c r="AR211" s="51" t="n">
        <f aca="false">AR210*$E$27</f>
        <v>616</v>
      </c>
      <c r="AS211" s="51" t="n">
        <f aca="false">AS210*$E$27</f>
        <v>616</v>
      </c>
      <c r="AT211" s="51" t="n">
        <f aca="false">AT210*$E$27</f>
        <v>616</v>
      </c>
      <c r="AU211" s="51" t="n">
        <f aca="false">AU210*$E$27</f>
        <v>616</v>
      </c>
      <c r="AV211" s="51" t="n">
        <f aca="false">AV210*$E$27</f>
        <v>616</v>
      </c>
      <c r="AW211" s="51" t="n">
        <f aca="false">AW210*$E$27</f>
        <v>616</v>
      </c>
      <c r="AX211" s="51" t="n">
        <f aca="false">AX210*$E$27</f>
        <v>616</v>
      </c>
      <c r="AY211" s="51" t="n">
        <f aca="false">AY210*$E$27</f>
        <v>616</v>
      </c>
      <c r="AZ211" s="51" t="n">
        <f aca="false">AZ210*$E$27</f>
        <v>616</v>
      </c>
      <c r="BA211" s="51" t="n">
        <f aca="false">BA210*$E$27</f>
        <v>616</v>
      </c>
      <c r="BB211" s="51" t="n">
        <f aca="false">BB210*$E$27</f>
        <v>616</v>
      </c>
      <c r="BC211" s="51" t="n">
        <f aca="false">BC210*$E$27</f>
        <v>616</v>
      </c>
      <c r="BD211" s="51" t="n">
        <f aca="false">BD210*$E$27</f>
        <v>616</v>
      </c>
      <c r="BE211" s="51" t="n">
        <f aca="false">BE210*$E$27</f>
        <v>616</v>
      </c>
      <c r="BF211" s="51" t="n">
        <f aca="false">BF210*$E$27</f>
        <v>616</v>
      </c>
      <c r="BG211" s="51" t="n">
        <f aca="false">BG210*$E$27</f>
        <v>616</v>
      </c>
      <c r="BH211" s="51" t="n">
        <f aca="false">BH210*$E$27</f>
        <v>616</v>
      </c>
      <c r="BI211" s="51" t="n">
        <f aca="false">BI210*$E$27</f>
        <v>616</v>
      </c>
      <c r="BJ211" s="51" t="n">
        <f aca="false">BJ210*$E$27</f>
        <v>616</v>
      </c>
      <c r="BK211" s="51" t="n">
        <f aca="false">BK210*$E$27</f>
        <v>616</v>
      </c>
    </row>
    <row r="212" customFormat="false" ht="15" hidden="false" customHeight="false" outlineLevel="0" collapsed="false">
      <c r="A212" s="0" t="s">
        <v>188</v>
      </c>
      <c r="D212" s="51" t="n">
        <f aca="false">D211*$E$28</f>
        <v>2.772</v>
      </c>
      <c r="E212" s="51" t="n">
        <f aca="false">E211*$E$28</f>
        <v>3.16008</v>
      </c>
      <c r="F212" s="51" t="n">
        <f aca="false">F211*$E$28</f>
        <v>3.6024912</v>
      </c>
      <c r="G212" s="51" t="n">
        <f aca="false">G211*$E$28</f>
        <v>4.106839968</v>
      </c>
      <c r="H212" s="51" t="n">
        <f aca="false">H211*$E$28</f>
        <v>4.68179756352</v>
      </c>
      <c r="I212" s="51" t="n">
        <f aca="false">I211*$E$28</f>
        <v>5.3372492224128</v>
      </c>
      <c r="J212" s="51" t="n">
        <f aca="false">J211*$E$28</f>
        <v>6.0844641135506</v>
      </c>
      <c r="K212" s="51" t="n">
        <f aca="false">K211*$E$28</f>
        <v>6.93628908944768</v>
      </c>
      <c r="L212" s="51" t="n">
        <f aca="false">L211*$E$28</f>
        <v>7.90736956197036</v>
      </c>
      <c r="M212" s="51" t="n">
        <f aca="false">M211*$E$28</f>
        <v>9.01440130064621</v>
      </c>
      <c r="N212" s="51" t="n">
        <f aca="false">N211*$E$28</f>
        <v>10.2764174827367</v>
      </c>
      <c r="O212" s="51" t="n">
        <f aca="false">O211*$E$28</f>
        <v>11.7151159303198</v>
      </c>
      <c r="P212" s="51" t="n">
        <f aca="false">P211*$E$28</f>
        <v>13.3552321605646</v>
      </c>
      <c r="Q212" s="51" t="n">
        <f aca="false">Q211*$E$28</f>
        <v>15.2249646630436</v>
      </c>
      <c r="R212" s="51" t="n">
        <f aca="false">R211*$E$28</f>
        <v>17.3564597158697</v>
      </c>
      <c r="S212" s="51" t="n">
        <f aca="false">S211*$E$28</f>
        <v>19.7863640760915</v>
      </c>
      <c r="T212" s="51" t="n">
        <f aca="false">T211*$E$28</f>
        <v>22.5564550467443</v>
      </c>
      <c r="U212" s="51" t="n">
        <f aca="false">U211*$E$28</f>
        <v>25.7143587532885</v>
      </c>
      <c r="V212" s="51" t="n">
        <f aca="false">V211*$E$28</f>
        <v>29.3143689787489</v>
      </c>
      <c r="W212" s="51" t="n">
        <f aca="false">W211*$E$28</f>
        <v>33.4183806357738</v>
      </c>
      <c r="X212" s="51" t="n">
        <f aca="false">X211*$E$28</f>
        <v>38.0969539247821</v>
      </c>
      <c r="Y212" s="51" t="n">
        <f aca="false">Y211*$E$28</f>
        <v>43.4305274742516</v>
      </c>
      <c r="Z212" s="51" t="n">
        <f aca="false">Z211*$E$28</f>
        <v>49.5108013206469</v>
      </c>
      <c r="AA212" s="51" t="n">
        <f aca="false">AA211*$E$28</f>
        <v>56.4423135055374</v>
      </c>
      <c r="AB212" s="51" t="n">
        <f aca="false">AB211*$E$28</f>
        <v>64.3442373963127</v>
      </c>
      <c r="AC212" s="51" t="n">
        <f aca="false">AC211*$E$28</f>
        <v>73.3524306317965</v>
      </c>
      <c r="AD212" s="51" t="n">
        <f aca="false">AD211*$E$28</f>
        <v>83.621770920248</v>
      </c>
      <c r="AE212" s="51" t="n">
        <f aca="false">AE211*$E$28</f>
        <v>95.3288188490827</v>
      </c>
      <c r="AF212" s="51" t="n">
        <f aca="false">AF211*$E$28</f>
        <v>108.674853487954</v>
      </c>
      <c r="AG212" s="51" t="n">
        <f aca="false">AG211*$E$28</f>
        <v>123.889332976268</v>
      </c>
      <c r="AH212" s="51" t="n">
        <f aca="false">AH211*$E$28</f>
        <v>141.233839592945</v>
      </c>
      <c r="AI212" s="51" t="n">
        <f aca="false">AI211*$E$28</f>
        <v>161.006577135958</v>
      </c>
      <c r="AJ212" s="51" t="n">
        <f aca="false">AJ211*$E$28</f>
        <v>183.547497934992</v>
      </c>
      <c r="AK212" s="51" t="n">
        <f aca="false">AK211*$E$28</f>
        <v>209.244147645891</v>
      </c>
      <c r="AL212" s="51" t="n">
        <f aca="false">AL211*$E$28</f>
        <v>238.538328316316</v>
      </c>
      <c r="AM212" s="51" t="n">
        <f aca="false">AM211*$E$28</f>
        <v>271.9336942806</v>
      </c>
      <c r="AN212" s="51" t="n">
        <f aca="false">AN211*$E$28</f>
        <v>277.2</v>
      </c>
      <c r="AO212" s="51" t="n">
        <f aca="false">AO211*$E$28</f>
        <v>277.2</v>
      </c>
      <c r="AP212" s="51" t="n">
        <f aca="false">AP211*$E$28</f>
        <v>277.2</v>
      </c>
      <c r="AQ212" s="51" t="n">
        <f aca="false">AQ211*$E$28</f>
        <v>277.2</v>
      </c>
      <c r="AR212" s="51" t="n">
        <f aca="false">AR211*$E$28</f>
        <v>277.2</v>
      </c>
      <c r="AS212" s="51" t="n">
        <f aca="false">AS211*$E$28</f>
        <v>277.2</v>
      </c>
      <c r="AT212" s="51" t="n">
        <f aca="false">AT211*$E$28</f>
        <v>277.2</v>
      </c>
      <c r="AU212" s="51" t="n">
        <f aca="false">AU211*$E$28</f>
        <v>277.2</v>
      </c>
      <c r="AV212" s="51" t="n">
        <f aca="false">AV211*$E$28</f>
        <v>277.2</v>
      </c>
      <c r="AW212" s="51" t="n">
        <f aca="false">AW211*$E$28</f>
        <v>277.2</v>
      </c>
      <c r="AX212" s="51" t="n">
        <f aca="false">AX211*$E$28</f>
        <v>277.2</v>
      </c>
      <c r="AY212" s="51" t="n">
        <f aca="false">AY211*$E$28</f>
        <v>277.2</v>
      </c>
      <c r="AZ212" s="51" t="n">
        <f aca="false">AZ211*$E$28</f>
        <v>277.2</v>
      </c>
      <c r="BA212" s="51" t="n">
        <f aca="false">BA211*$E$28</f>
        <v>277.2</v>
      </c>
      <c r="BB212" s="51" t="n">
        <f aca="false">BB211*$E$28</f>
        <v>277.2</v>
      </c>
      <c r="BC212" s="51" t="n">
        <f aca="false">BC211*$E$28</f>
        <v>277.2</v>
      </c>
      <c r="BD212" s="51" t="n">
        <f aca="false">BD211*$E$28</f>
        <v>277.2</v>
      </c>
      <c r="BE212" s="51" t="n">
        <f aca="false">BE211*$E$28</f>
        <v>277.2</v>
      </c>
      <c r="BF212" s="51" t="n">
        <f aca="false">BF211*$E$28</f>
        <v>277.2</v>
      </c>
      <c r="BG212" s="51" t="n">
        <f aca="false">BG211*$E$28</f>
        <v>277.2</v>
      </c>
      <c r="BH212" s="51" t="n">
        <f aca="false">BH211*$E$28</f>
        <v>277.2</v>
      </c>
      <c r="BI212" s="51" t="n">
        <f aca="false">BI211*$E$28</f>
        <v>277.2</v>
      </c>
      <c r="BJ212" s="51" t="n">
        <f aca="false">BJ211*$E$28</f>
        <v>277.2</v>
      </c>
      <c r="BK212" s="51" t="n">
        <f aca="false">BK211*$E$28</f>
        <v>277.2</v>
      </c>
    </row>
    <row r="213" customFormat="false" ht="15" hidden="false" customHeight="false" outlineLevel="0" collapsed="false">
      <c r="A213" s="0" t="s">
        <v>189</v>
      </c>
      <c r="D213" s="51" t="n">
        <f aca="false">D211*$E$29</f>
        <v>2.464</v>
      </c>
      <c r="E213" s="51" t="n">
        <f aca="false">E211*$E$29</f>
        <v>2.80896</v>
      </c>
      <c r="F213" s="51" t="n">
        <f aca="false">F211*$E$29</f>
        <v>3.2022144</v>
      </c>
      <c r="G213" s="51" t="n">
        <f aca="false">G211*$E$29</f>
        <v>3.650524416</v>
      </c>
      <c r="H213" s="51" t="n">
        <f aca="false">H211*$E$29</f>
        <v>4.16159783424</v>
      </c>
      <c r="I213" s="51" t="n">
        <f aca="false">I211*$E$29</f>
        <v>4.7442215310336</v>
      </c>
      <c r="J213" s="51" t="n">
        <f aca="false">J211*$E$29</f>
        <v>5.40841254537831</v>
      </c>
      <c r="K213" s="51" t="n">
        <f aca="false">K211*$E$29</f>
        <v>6.16559030173127</v>
      </c>
      <c r="L213" s="51" t="n">
        <f aca="false">L211*$E$29</f>
        <v>7.02877294397365</v>
      </c>
      <c r="M213" s="51" t="n">
        <f aca="false">M211*$E$29</f>
        <v>8.01280115612996</v>
      </c>
      <c r="N213" s="51" t="n">
        <f aca="false">N211*$E$29</f>
        <v>9.13459331798816</v>
      </c>
      <c r="O213" s="51" t="n">
        <f aca="false">O211*$E$29</f>
        <v>10.4134363825065</v>
      </c>
      <c r="P213" s="51" t="n">
        <f aca="false">P211*$E$29</f>
        <v>11.8713174760574</v>
      </c>
      <c r="Q213" s="51" t="n">
        <f aca="false">Q211*$E$29</f>
        <v>13.5333019227055</v>
      </c>
      <c r="R213" s="51" t="n">
        <f aca="false">R211*$E$29</f>
        <v>15.4279641918842</v>
      </c>
      <c r="S213" s="51" t="n">
        <f aca="false">S211*$E$29</f>
        <v>17.587879178748</v>
      </c>
      <c r="T213" s="51" t="n">
        <f aca="false">T211*$E$29</f>
        <v>20.0501822637727</v>
      </c>
      <c r="U213" s="51" t="n">
        <f aca="false">U211*$E$29</f>
        <v>22.8572077807009</v>
      </c>
      <c r="V213" s="51" t="n">
        <f aca="false">V211*$E$29</f>
        <v>26.0572168699991</v>
      </c>
      <c r="W213" s="51" t="n">
        <f aca="false">W211*$E$29</f>
        <v>29.7052272317989</v>
      </c>
      <c r="X213" s="51" t="n">
        <f aca="false">X211*$E$29</f>
        <v>33.8639590442508</v>
      </c>
      <c r="Y213" s="51" t="n">
        <f aca="false">Y211*$E$29</f>
        <v>38.6049133104459</v>
      </c>
      <c r="Z213" s="51" t="n">
        <f aca="false">Z211*$E$29</f>
        <v>44.0096011739083</v>
      </c>
      <c r="AA213" s="51" t="n">
        <f aca="false">AA211*$E$29</f>
        <v>50.1709453382555</v>
      </c>
      <c r="AB213" s="51" t="n">
        <f aca="false">AB211*$E$29</f>
        <v>57.1948776856113</v>
      </c>
      <c r="AC213" s="51" t="n">
        <f aca="false">AC211*$E$29</f>
        <v>65.2021605615969</v>
      </c>
      <c r="AD213" s="51" t="n">
        <f aca="false">AD211*$E$29</f>
        <v>74.3304630402204</v>
      </c>
      <c r="AE213" s="51" t="n">
        <f aca="false">AE211*$E$29</f>
        <v>84.7367278658513</v>
      </c>
      <c r="AF213" s="51" t="n">
        <f aca="false">AF211*$E$29</f>
        <v>96.5998697670705</v>
      </c>
      <c r="AG213" s="51" t="n">
        <f aca="false">AG211*$E$29</f>
        <v>110.12385153446</v>
      </c>
      <c r="AH213" s="51" t="n">
        <f aca="false">AH211*$E$29</f>
        <v>125.541190749285</v>
      </c>
      <c r="AI213" s="51" t="n">
        <f aca="false">AI211*$E$29</f>
        <v>143.116957454185</v>
      </c>
      <c r="AJ213" s="51" t="n">
        <f aca="false">AJ211*$E$29</f>
        <v>163.153331497771</v>
      </c>
      <c r="AK213" s="51" t="n">
        <f aca="false">AK211*$E$29</f>
        <v>185.994797907459</v>
      </c>
      <c r="AL213" s="51" t="n">
        <f aca="false">AL211*$E$29</f>
        <v>212.034069614503</v>
      </c>
      <c r="AM213" s="51" t="n">
        <f aca="false">AM211*$E$29</f>
        <v>241.718839360533</v>
      </c>
      <c r="AN213" s="51" t="n">
        <f aca="false">AN211*$E$29</f>
        <v>246.4</v>
      </c>
      <c r="AO213" s="51" t="n">
        <f aca="false">AO211*$E$29</f>
        <v>246.4</v>
      </c>
      <c r="AP213" s="51" t="n">
        <f aca="false">AP211*$E$29</f>
        <v>246.4</v>
      </c>
      <c r="AQ213" s="51" t="n">
        <f aca="false">AQ211*$E$29</f>
        <v>246.4</v>
      </c>
      <c r="AR213" s="51" t="n">
        <f aca="false">AR211*$E$29</f>
        <v>246.4</v>
      </c>
      <c r="AS213" s="51" t="n">
        <f aca="false">AS211*$E$29</f>
        <v>246.4</v>
      </c>
      <c r="AT213" s="51" t="n">
        <f aca="false">AT211*$E$29</f>
        <v>246.4</v>
      </c>
      <c r="AU213" s="51" t="n">
        <f aca="false">AU211*$E$29</f>
        <v>246.4</v>
      </c>
      <c r="AV213" s="51" t="n">
        <f aca="false">AV211*$E$29</f>
        <v>246.4</v>
      </c>
      <c r="AW213" s="51" t="n">
        <f aca="false">AW211*$E$29</f>
        <v>246.4</v>
      </c>
      <c r="AX213" s="51" t="n">
        <f aca="false">AX211*$E$29</f>
        <v>246.4</v>
      </c>
      <c r="AY213" s="51" t="n">
        <f aca="false">AY211*$E$29</f>
        <v>246.4</v>
      </c>
      <c r="AZ213" s="51" t="n">
        <f aca="false">AZ211*$E$29</f>
        <v>246.4</v>
      </c>
      <c r="BA213" s="51" t="n">
        <f aca="false">BA211*$E$29</f>
        <v>246.4</v>
      </c>
      <c r="BB213" s="51" t="n">
        <f aca="false">BB211*$E$29</f>
        <v>246.4</v>
      </c>
      <c r="BC213" s="51" t="n">
        <f aca="false">BC211*$E$29</f>
        <v>246.4</v>
      </c>
      <c r="BD213" s="51" t="n">
        <f aca="false">BD211*$E$29</f>
        <v>246.4</v>
      </c>
      <c r="BE213" s="51" t="n">
        <f aca="false">BE211*$E$29</f>
        <v>246.4</v>
      </c>
      <c r="BF213" s="51" t="n">
        <f aca="false">BF211*$E$29</f>
        <v>246.4</v>
      </c>
      <c r="BG213" s="51" t="n">
        <f aca="false">BG211*$E$29</f>
        <v>246.4</v>
      </c>
      <c r="BH213" s="51" t="n">
        <f aca="false">BH211*$E$29</f>
        <v>246.4</v>
      </c>
      <c r="BI213" s="51" t="n">
        <f aca="false">BI211*$E$29</f>
        <v>246.4</v>
      </c>
      <c r="BJ213" s="51" t="n">
        <f aca="false">BJ211*$E$29</f>
        <v>246.4</v>
      </c>
      <c r="BK213" s="51" t="n">
        <f aca="false">BK211*$E$29</f>
        <v>246.4</v>
      </c>
    </row>
    <row r="214" customFormat="false" ht="15" hidden="false" customHeight="false" outlineLevel="0" collapsed="false">
      <c r="A214" s="0" t="s">
        <v>190</v>
      </c>
      <c r="D214" s="51" t="n">
        <f aca="false">D211*$E$30</f>
        <v>0.924</v>
      </c>
      <c r="E214" s="51" t="n">
        <f aca="false">E211*$E$30</f>
        <v>1.05336</v>
      </c>
      <c r="F214" s="51" t="n">
        <f aca="false">F211*$E$30</f>
        <v>1.2008304</v>
      </c>
      <c r="G214" s="51" t="n">
        <f aca="false">G211*$E$30</f>
        <v>1.368946656</v>
      </c>
      <c r="H214" s="51" t="n">
        <f aca="false">H211*$E$30</f>
        <v>1.56059918784</v>
      </c>
      <c r="I214" s="51" t="n">
        <f aca="false">I211*$E$30</f>
        <v>1.7790830741376</v>
      </c>
      <c r="J214" s="51" t="n">
        <f aca="false">J211*$E$30</f>
        <v>2.02815470451687</v>
      </c>
      <c r="K214" s="51" t="n">
        <f aca="false">K211*$E$30</f>
        <v>2.31209636314923</v>
      </c>
      <c r="L214" s="51" t="n">
        <f aca="false">L211*$E$30</f>
        <v>2.63578985399012</v>
      </c>
      <c r="M214" s="51" t="n">
        <f aca="false">M211*$E$30</f>
        <v>3.00480043354874</v>
      </c>
      <c r="N214" s="51" t="n">
        <f aca="false">N211*$E$30</f>
        <v>3.42547249424556</v>
      </c>
      <c r="O214" s="51" t="n">
        <f aca="false">O211*$E$30</f>
        <v>3.90503864343994</v>
      </c>
      <c r="P214" s="51" t="n">
        <f aca="false">P211*$E$30</f>
        <v>4.45174405352153</v>
      </c>
      <c r="Q214" s="51" t="n">
        <f aca="false">Q211*$E$30</f>
        <v>5.07498822101455</v>
      </c>
      <c r="R214" s="51" t="n">
        <f aca="false">R211*$E$30</f>
        <v>5.78548657195658</v>
      </c>
      <c r="S214" s="51" t="n">
        <f aca="false">S211*$E$30</f>
        <v>6.59545469203051</v>
      </c>
      <c r="T214" s="51" t="n">
        <f aca="false">T211*$E$30</f>
        <v>7.51881834891478</v>
      </c>
      <c r="U214" s="51" t="n">
        <f aca="false">U211*$E$30</f>
        <v>8.57145291776285</v>
      </c>
      <c r="V214" s="51" t="n">
        <f aca="false">V211*$E$30</f>
        <v>9.77145632624965</v>
      </c>
      <c r="W214" s="51" t="n">
        <f aca="false">W211*$E$30</f>
        <v>11.1394602119246</v>
      </c>
      <c r="X214" s="51" t="n">
        <f aca="false">X211*$E$30</f>
        <v>12.698984641594</v>
      </c>
      <c r="Y214" s="51" t="n">
        <f aca="false">Y211*$E$30</f>
        <v>14.4768424914172</v>
      </c>
      <c r="Z214" s="51" t="n">
        <f aca="false">Z211*$E$30</f>
        <v>16.5036004402156</v>
      </c>
      <c r="AA214" s="51" t="n">
        <f aca="false">AA211*$E$30</f>
        <v>18.8141045018458</v>
      </c>
      <c r="AB214" s="51" t="n">
        <f aca="false">AB211*$E$30</f>
        <v>21.4480791321042</v>
      </c>
      <c r="AC214" s="51" t="n">
        <f aca="false">AC211*$E$30</f>
        <v>24.4508102105988</v>
      </c>
      <c r="AD214" s="51" t="n">
        <f aca="false">AD211*$E$30</f>
        <v>27.8739236400827</v>
      </c>
      <c r="AE214" s="51" t="n">
        <f aca="false">AE211*$E$30</f>
        <v>31.7762729496942</v>
      </c>
      <c r="AF214" s="51" t="n">
        <f aca="false">AF211*$E$30</f>
        <v>36.2249511626514</v>
      </c>
      <c r="AG214" s="51" t="n">
        <f aca="false">AG211*$E$30</f>
        <v>41.2964443254226</v>
      </c>
      <c r="AH214" s="51" t="n">
        <f aca="false">AH211*$E$30</f>
        <v>47.0779465309818</v>
      </c>
      <c r="AI214" s="51" t="n">
        <f aca="false">AI211*$E$30</f>
        <v>53.6688590453193</v>
      </c>
      <c r="AJ214" s="51" t="n">
        <f aca="false">AJ211*$E$30</f>
        <v>61.182499311664</v>
      </c>
      <c r="AK214" s="51" t="n">
        <f aca="false">AK211*$E$30</f>
        <v>69.7480492152969</v>
      </c>
      <c r="AL214" s="51" t="n">
        <f aca="false">AL211*$E$30</f>
        <v>79.5127761054385</v>
      </c>
      <c r="AM214" s="51" t="n">
        <f aca="false">AM211*$E$30</f>
        <v>90.6445647601999</v>
      </c>
      <c r="AN214" s="51" t="n">
        <f aca="false">AN211*$E$30</f>
        <v>92.4</v>
      </c>
      <c r="AO214" s="51" t="n">
        <f aca="false">AO211*$E$30</f>
        <v>92.4</v>
      </c>
      <c r="AP214" s="51" t="n">
        <f aca="false">AP211*$E$30</f>
        <v>92.4</v>
      </c>
      <c r="AQ214" s="51" t="n">
        <f aca="false">AQ211*$E$30</f>
        <v>92.4</v>
      </c>
      <c r="AR214" s="51" t="n">
        <f aca="false">AR211*$E$30</f>
        <v>92.4</v>
      </c>
      <c r="AS214" s="51" t="n">
        <f aca="false">AS211*$E$30</f>
        <v>92.4</v>
      </c>
      <c r="AT214" s="51" t="n">
        <f aca="false">AT211*$E$30</f>
        <v>92.4</v>
      </c>
      <c r="AU214" s="51" t="n">
        <f aca="false">AU211*$E$30</f>
        <v>92.4</v>
      </c>
      <c r="AV214" s="51" t="n">
        <f aca="false">AV211*$E$30</f>
        <v>92.4</v>
      </c>
      <c r="AW214" s="51" t="n">
        <f aca="false">AW211*$E$30</f>
        <v>92.4</v>
      </c>
      <c r="AX214" s="51" t="n">
        <f aca="false">AX211*$E$30</f>
        <v>92.4</v>
      </c>
      <c r="AY214" s="51" t="n">
        <f aca="false">AY211*$E$30</f>
        <v>92.4</v>
      </c>
      <c r="AZ214" s="51" t="n">
        <f aca="false">AZ211*$E$30</f>
        <v>92.4</v>
      </c>
      <c r="BA214" s="51" t="n">
        <f aca="false">BA211*$E$30</f>
        <v>92.4</v>
      </c>
      <c r="BB214" s="51" t="n">
        <f aca="false">BB211*$E$30</f>
        <v>92.4</v>
      </c>
      <c r="BC214" s="51" t="n">
        <f aca="false">BC211*$E$30</f>
        <v>92.4</v>
      </c>
      <c r="BD214" s="51" t="n">
        <f aca="false">BD211*$E$30</f>
        <v>92.4</v>
      </c>
      <c r="BE214" s="51" t="n">
        <f aca="false">BE211*$E$30</f>
        <v>92.4</v>
      </c>
      <c r="BF214" s="51" t="n">
        <f aca="false">BF211*$E$30</f>
        <v>92.4</v>
      </c>
      <c r="BG214" s="51" t="n">
        <f aca="false">BG211*$E$30</f>
        <v>92.4</v>
      </c>
      <c r="BH214" s="51" t="n">
        <f aca="false">BH211*$E$30</f>
        <v>92.4</v>
      </c>
      <c r="BI214" s="51" t="n">
        <f aca="false">BI211*$E$30</f>
        <v>92.4</v>
      </c>
      <c r="BJ214" s="51" t="n">
        <f aca="false">BJ211*$E$30</f>
        <v>92.4</v>
      </c>
      <c r="BK214" s="51" t="n">
        <f aca="false">BK211*$E$30</f>
        <v>92.4</v>
      </c>
    </row>
    <row r="215" customFormat="false" ht="15" hidden="false" customHeight="false" outlineLevel="0" collapsed="false">
      <c r="A215" s="0" t="s">
        <v>191</v>
      </c>
      <c r="C215" s="0" t="n">
        <v>0</v>
      </c>
      <c r="D215" s="8" t="n">
        <f aca="false">C215*(1-$E$35)+D212</f>
        <v>2.772</v>
      </c>
      <c r="E215" s="8" t="n">
        <f aca="false">D215*(1-$E$35)+E212</f>
        <v>5.73804</v>
      </c>
      <c r="F215" s="8" t="n">
        <f aca="false">E215*(1-$E$35)+F212</f>
        <v>8.9388684</v>
      </c>
      <c r="G215" s="8" t="n">
        <f aca="false">F215*(1-$E$35)+G212</f>
        <v>12.41998758</v>
      </c>
      <c r="H215" s="8" t="n">
        <f aca="false">G215*(1-$E$35)+H212</f>
        <v>16.23238601292</v>
      </c>
      <c r="I215" s="8" t="n">
        <f aca="false">H215*(1-$E$35)+I212</f>
        <v>20.4333682144284</v>
      </c>
      <c r="J215" s="8" t="n">
        <f aca="false">I215*(1-$E$35)+J212</f>
        <v>25.087496552969</v>
      </c>
      <c r="K215" s="8" t="n">
        <f aca="false">J215*(1-$E$35)+K212</f>
        <v>30.2676608837089</v>
      </c>
      <c r="L215" s="8" t="n">
        <f aca="false">K215*(1-$E$35)+L212</f>
        <v>36.0562941838196</v>
      </c>
      <c r="M215" s="8" t="n">
        <f aca="false">L215*(1-$E$35)+M212</f>
        <v>42.5467548915984</v>
      </c>
      <c r="N215" s="8" t="n">
        <f aca="false">M215*(1-$E$35)+N212</f>
        <v>49.8448995319232</v>
      </c>
      <c r="O215" s="8" t="n">
        <f aca="false">N215*(1-$E$35)+O212</f>
        <v>58.0708724950084</v>
      </c>
      <c r="P215" s="8" t="n">
        <f aca="false">O215*(1-$E$35)+P212</f>
        <v>67.3611435809224</v>
      </c>
      <c r="Q215" s="8" t="n">
        <f aca="false">P215*(1-$E$35)+Q212</f>
        <v>77.8708281933015</v>
      </c>
      <c r="R215" s="8" t="n">
        <f aca="false">Q215*(1-$E$35)+R212</f>
        <v>89.7763299356401</v>
      </c>
      <c r="S215" s="8" t="n">
        <f aca="false">R215*(1-$E$35)+S212</f>
        <v>103.278350916237</v>
      </c>
      <c r="T215" s="8" t="n">
        <f aca="false">S215*(1-$E$35)+T212</f>
        <v>118.605321398845</v>
      </c>
      <c r="U215" s="8" t="n">
        <f aca="false">T215*(1-$E$35)+U212</f>
        <v>136.017307654214</v>
      </c>
      <c r="V215" s="8" t="n">
        <f aca="false">U215*(1-$E$35)+V212</f>
        <v>155.810465097168</v>
      </c>
      <c r="W215" s="8" t="n">
        <f aca="false">V215*(1-$E$35)+W212</f>
        <v>178.32211317614</v>
      </c>
      <c r="X215" s="8" t="n">
        <f aca="false">W215*(1-$E$35)+X212</f>
        <v>203.936519178592</v>
      </c>
      <c r="Y215" s="8" t="n">
        <f aca="false">X215*(1-$E$35)+Y212</f>
        <v>233.091490310342</v>
      </c>
      <c r="Z215" s="8" t="n">
        <f aca="false">Y215*(1-$E$35)+Z212</f>
        <v>266.285887309265</v>
      </c>
      <c r="AA215" s="8" t="n">
        <f aca="false">Z215*(1-$E$35)+AA212</f>
        <v>304.088188703154</v>
      </c>
      <c r="AB215" s="8" t="n">
        <f aca="false">AA215*(1-$E$35)+AB212</f>
        <v>347.146252890246</v>
      </c>
      <c r="AC215" s="8" t="n">
        <f aca="false">AB215*(1-$E$35)+AC212</f>
        <v>396.198445819725</v>
      </c>
      <c r="AD215" s="8" t="n">
        <f aca="false">AC215*(1-$E$35)+AD212</f>
        <v>452.086325532592</v>
      </c>
      <c r="AE215" s="8" t="n">
        <f aca="false">AD215*(1-$E$35)+AE212</f>
        <v>515.769101594394</v>
      </c>
      <c r="AF215" s="8" t="n">
        <f aca="false">AE215*(1-$E$35)+AF212</f>
        <v>588.34011797074</v>
      </c>
      <c r="AG215" s="8" t="n">
        <f aca="false">AF215*(1-$E$35)+AG212</f>
        <v>671.045642689056</v>
      </c>
      <c r="AH215" s="8" t="n">
        <f aca="false">AG215*(1-$E$35)+AH212</f>
        <v>765.306287293768</v>
      </c>
      <c r="AI215" s="8" t="n">
        <f aca="false">AH215*(1-$E$35)+AI212</f>
        <v>872.741424319162</v>
      </c>
      <c r="AJ215" s="8" t="n">
        <f aca="false">AI215*(1-$E$35)+AJ212</f>
        <v>995.197022551812</v>
      </c>
      <c r="AK215" s="8" t="n">
        <f aca="false">AJ215*(1-$E$35)+AK212</f>
        <v>1134.77737861908</v>
      </c>
      <c r="AL215" s="8" t="n">
        <f aca="false">AK215*(1-$E$35)+AL212</f>
        <v>1293.88129043206</v>
      </c>
      <c r="AM215" s="8" t="n">
        <f aca="false">AL215*(1-$E$35)+AM212</f>
        <v>1475.24329438241</v>
      </c>
      <c r="AN215" s="8" t="n">
        <f aca="false">AM215*(1-$E$35)+AN212</f>
        <v>1649.17626377564</v>
      </c>
      <c r="AO215" s="8" t="n">
        <f aca="false">AN215*(1-$E$35)+AO212</f>
        <v>1810.93392531135</v>
      </c>
      <c r="AP215" s="8" t="n">
        <f aca="false">AO215*(1-$E$35)+AP212</f>
        <v>1961.36855053955</v>
      </c>
      <c r="AQ215" s="8" t="n">
        <f aca="false">AP215*(1-$E$35)+AQ212</f>
        <v>2101.27275200178</v>
      </c>
      <c r="AR215" s="8" t="n">
        <f aca="false">AQ215*(1-$E$35)+AR212</f>
        <v>2231.38365936166</v>
      </c>
      <c r="AS215" s="8" t="n">
        <f aca="false">AR215*(1-$E$35)+AS212</f>
        <v>2352.38680320634</v>
      </c>
      <c r="AT215" s="8" t="n">
        <f aca="false">AS215*(1-$E$35)+AT212</f>
        <v>2464.9197269819</v>
      </c>
      <c r="AU215" s="8" t="n">
        <f aca="false">AT215*(1-$E$35)+AU212</f>
        <v>2569.57534609317</v>
      </c>
      <c r="AV215" s="8" t="n">
        <f aca="false">AU215*(1-$E$35)+AV212</f>
        <v>2666.90507186665</v>
      </c>
      <c r="AW215" s="8" t="n">
        <f aca="false">AV215*(1-$E$35)+AW212</f>
        <v>2757.42171683598</v>
      </c>
      <c r="AX215" s="8" t="n">
        <f aca="false">AW215*(1-$E$35)+AX212</f>
        <v>2841.60219665746</v>
      </c>
      <c r="AY215" s="8" t="n">
        <f aca="false">AX215*(1-$E$35)+AY212</f>
        <v>2919.89004289144</v>
      </c>
      <c r="AZ215" s="8" t="n">
        <f aca="false">AY215*(1-$E$35)+AZ212</f>
        <v>2992.69773988904</v>
      </c>
      <c r="BA215" s="8" t="n">
        <f aca="false">AZ215*(1-$E$35)+BA212</f>
        <v>3060.40889809681</v>
      </c>
      <c r="BB215" s="8" t="n">
        <f aca="false">BA215*(1-$E$35)+BB212</f>
        <v>3123.38027523003</v>
      </c>
      <c r="BC215" s="8" t="n">
        <f aca="false">BB215*(1-$E$35)+BC212</f>
        <v>3181.94365596393</v>
      </c>
      <c r="BD215" s="8" t="n">
        <f aca="false">BC215*(1-$E$35)+BD212</f>
        <v>3236.40760004645</v>
      </c>
      <c r="BE215" s="8" t="n">
        <f aca="false">BD215*(1-$E$35)+BE212</f>
        <v>3287.0590680432</v>
      </c>
      <c r="BF215" s="8" t="n">
        <f aca="false">BE215*(1-$E$35)+BF212</f>
        <v>3334.16493328018</v>
      </c>
      <c r="BG215" s="8" t="n">
        <f aca="false">BF215*(1-$E$35)+BG212</f>
        <v>3377.97338795056</v>
      </c>
      <c r="BH215" s="8" t="n">
        <f aca="false">BG215*(1-$E$35)+BH212</f>
        <v>3418.71525079402</v>
      </c>
      <c r="BI215" s="8" t="n">
        <f aca="false">BH215*(1-$E$35)+BI212</f>
        <v>3456.60518323844</v>
      </c>
      <c r="BJ215" s="8" t="n">
        <f aca="false">BI215*(1-$E$35)+BJ212</f>
        <v>3491.84282041175</v>
      </c>
      <c r="BK215" s="8" t="n">
        <f aca="false">BJ215*(1-$E$35)+BK212</f>
        <v>3524.61382298293</v>
      </c>
    </row>
    <row r="216" customFormat="false" ht="15" hidden="false" customHeight="false" outlineLevel="0" collapsed="false">
      <c r="A216" s="0" t="s">
        <v>192</v>
      </c>
      <c r="C216" s="0" t="n">
        <v>0</v>
      </c>
      <c r="D216" s="8" t="n">
        <f aca="false">C216*(1-$E$36)+D213</f>
        <v>2.464</v>
      </c>
      <c r="E216" s="8" t="n">
        <f aca="false">D216*(1-$E$36)+E213</f>
        <v>5.14976</v>
      </c>
      <c r="F216" s="8" t="n">
        <f aca="false">E216*(1-$E$36)+F213</f>
        <v>8.0944864</v>
      </c>
      <c r="G216" s="8" t="n">
        <f aca="false">F216*(1-$E$36)+G213</f>
        <v>11.340286496</v>
      </c>
      <c r="H216" s="8" t="n">
        <f aca="false">G216*(1-$E$36)+H213</f>
        <v>14.93487000544</v>
      </c>
      <c r="I216" s="8" t="n">
        <f aca="false">H216*(1-$E$36)+I213</f>
        <v>18.9323480362016</v>
      </c>
      <c r="J216" s="8" t="n">
        <f aca="false">I216*(1-$E$36)+J213</f>
        <v>23.3941431797698</v>
      </c>
      <c r="K216" s="8" t="n">
        <f aca="false">J216*(1-$E$36)+K213</f>
        <v>28.3900263225126</v>
      </c>
      <c r="L216" s="8" t="n">
        <f aca="false">K216*(1-$E$36)+L213</f>
        <v>33.9992979503606</v>
      </c>
      <c r="M216" s="8" t="n">
        <f aca="false">L216*(1-$E$36)+M213</f>
        <v>40.3121342089726</v>
      </c>
      <c r="N216" s="8" t="n">
        <f aca="false">M216*(1-$E$36)+N213</f>
        <v>47.4311208165121</v>
      </c>
      <c r="O216" s="8" t="n">
        <f aca="false">N216*(1-$E$36)+O213</f>
        <v>55.473001158193</v>
      </c>
      <c r="P216" s="8" t="n">
        <f aca="false">O216*(1-$E$36)+P213</f>
        <v>64.5706685763408</v>
      </c>
      <c r="Q216" s="8" t="n">
        <f aca="false">P216*(1-$E$36)+Q213</f>
        <v>74.8754370702292</v>
      </c>
      <c r="R216" s="8" t="n">
        <f aca="false">Q216*(1-$E$36)+R213</f>
        <v>86.5596294086019</v>
      </c>
      <c r="S216" s="8" t="n">
        <f aca="false">R216*(1-$E$36)+S213</f>
        <v>99.8195271169198</v>
      </c>
      <c r="T216" s="8" t="n">
        <f aca="false">S216*(1-$E$36)+T213</f>
        <v>114.878733024847</v>
      </c>
      <c r="U216" s="8" t="n">
        <f aca="false">T216*(1-$E$36)+U213</f>
        <v>131.992004154305</v>
      </c>
      <c r="V216" s="8" t="n">
        <f aca="false">U216*(1-$E$36)+V213</f>
        <v>151.449620816589</v>
      </c>
      <c r="W216" s="8" t="n">
        <f aca="false">V216*(1-$E$36)+W213</f>
        <v>173.582367007558</v>
      </c>
      <c r="X216" s="8" t="n">
        <f aca="false">W216*(1-$E$36)+X213</f>
        <v>198.767207701431</v>
      </c>
      <c r="Y216" s="8" t="n">
        <f aca="false">X216*(1-$E$36)+Y213</f>
        <v>227.433760626806</v>
      </c>
      <c r="Z216" s="8" t="n">
        <f aca="false">Y216*(1-$E$36)+Z213</f>
        <v>260.071673769374</v>
      </c>
      <c r="AA216" s="8" t="n">
        <f aca="false">Z216*(1-$E$36)+AA213</f>
        <v>297.239035419161</v>
      </c>
      <c r="AB216" s="8" t="n">
        <f aca="false">AA216*(1-$E$36)+AB213</f>
        <v>339.571961333814</v>
      </c>
      <c r="AC216" s="8" t="n">
        <f aca="false">AB216*(1-$E$36)+AC213</f>
        <v>387.79552382872</v>
      </c>
      <c r="AD216" s="8" t="n">
        <f aca="false">AC216*(1-$E$36)+AD213</f>
        <v>442.736210677504</v>
      </c>
      <c r="AE216" s="8" t="n">
        <f aca="false">AD216*(1-$E$36)+AE213</f>
        <v>505.33612800948</v>
      </c>
      <c r="AF216" s="8" t="n">
        <f aca="false">AE216*(1-$E$36)+AF213</f>
        <v>576.669191376077</v>
      </c>
      <c r="AG216" s="8" t="n">
        <f aca="false">AF216*(1-$E$36)+AG213</f>
        <v>657.959583341733</v>
      </c>
      <c r="AH216" s="8" t="n">
        <f aca="false">AG216*(1-$E$36)+AH213</f>
        <v>750.602794923931</v>
      </c>
      <c r="AI216" s="8" t="n">
        <f aca="false">AH216*(1-$E$36)+AI213</f>
        <v>856.189612631919</v>
      </c>
      <c r="AJ216" s="8" t="n">
        <f aca="false">AI216*(1-$E$36)+AJ213</f>
        <v>976.533463498094</v>
      </c>
      <c r="AK216" s="8" t="n">
        <f aca="false">AJ216*(1-$E$36)+AK213</f>
        <v>1113.70158823065</v>
      </c>
      <c r="AL216" s="8" t="n">
        <f aca="false">AK216*(1-$E$36)+AL213</f>
        <v>1270.05057843362</v>
      </c>
      <c r="AM216" s="8" t="n">
        <f aca="false">AL216*(1-$E$36)+AM213</f>
        <v>1448.26688887247</v>
      </c>
      <c r="AN216" s="8" t="n">
        <f aca="false">AM216*(1-$E$36)+AN213</f>
        <v>1622.25354442885</v>
      </c>
      <c r="AO216" s="8" t="n">
        <f aca="false">AN216*(1-$E$36)+AO213</f>
        <v>1787.5408672074</v>
      </c>
      <c r="AP216" s="8" t="n">
        <f aca="false">AO216*(1-$E$36)+AP213</f>
        <v>1944.56382384703</v>
      </c>
      <c r="AQ216" s="8" t="n">
        <f aca="false">AP216*(1-$E$36)+AQ213</f>
        <v>2093.73563265468</v>
      </c>
      <c r="AR216" s="8" t="n">
        <f aca="false">AQ216*(1-$E$36)+AR213</f>
        <v>2235.44885102195</v>
      </c>
      <c r="AS216" s="8" t="n">
        <f aca="false">AR216*(1-$E$36)+AS213</f>
        <v>2370.07640847085</v>
      </c>
      <c r="AT216" s="8" t="n">
        <f aca="false">AS216*(1-$E$36)+AT213</f>
        <v>2497.97258804731</v>
      </c>
      <c r="AU216" s="8" t="n">
        <f aca="false">AT216*(1-$E$36)+AU213</f>
        <v>2619.47395864494</v>
      </c>
      <c r="AV216" s="8" t="n">
        <f aca="false">AU216*(1-$E$36)+AV213</f>
        <v>2734.9002607127</v>
      </c>
      <c r="AW216" s="8" t="n">
        <f aca="false">AV216*(1-$E$36)+AW213</f>
        <v>2844.55524767706</v>
      </c>
      <c r="AX216" s="8" t="n">
        <f aca="false">AW216*(1-$E$36)+AX213</f>
        <v>2948.72748529321</v>
      </c>
      <c r="AY216" s="8" t="n">
        <f aca="false">AX216*(1-$E$36)+AY213</f>
        <v>3047.69111102855</v>
      </c>
      <c r="AZ216" s="8" t="n">
        <f aca="false">AY216*(1-$E$36)+AZ213</f>
        <v>3141.70655547712</v>
      </c>
      <c r="BA216" s="8" t="n">
        <f aca="false">AZ216*(1-$E$36)+BA213</f>
        <v>3231.02122770326</v>
      </c>
      <c r="BB216" s="8" t="n">
        <f aca="false">BA216*(1-$E$36)+BB213</f>
        <v>3315.8701663181</v>
      </c>
      <c r="BC216" s="8" t="n">
        <f aca="false">BB216*(1-$E$36)+BC213</f>
        <v>3396.4766580022</v>
      </c>
      <c r="BD216" s="8" t="n">
        <f aca="false">BC216*(1-$E$36)+BD213</f>
        <v>3473.05282510209</v>
      </c>
      <c r="BE216" s="8" t="n">
        <f aca="false">BD216*(1-$E$36)+BE213</f>
        <v>3545.80018384698</v>
      </c>
      <c r="BF216" s="8" t="n">
        <f aca="false">BE216*(1-$E$36)+BF213</f>
        <v>3614.91017465463</v>
      </c>
      <c r="BG216" s="8" t="n">
        <f aca="false">BF216*(1-$E$36)+BG213</f>
        <v>3680.5646659219</v>
      </c>
      <c r="BH216" s="8" t="n">
        <f aca="false">BG216*(1-$E$36)+BH213</f>
        <v>3742.93643262581</v>
      </c>
      <c r="BI216" s="8" t="n">
        <f aca="false">BH216*(1-$E$36)+BI213</f>
        <v>3802.18961099451</v>
      </c>
      <c r="BJ216" s="8" t="n">
        <f aca="false">BI216*(1-$E$36)+BJ213</f>
        <v>3858.48013044479</v>
      </c>
      <c r="BK216" s="8" t="n">
        <f aca="false">BJ216*(1-$E$36)+BK213</f>
        <v>3911.95612392255</v>
      </c>
    </row>
    <row r="217" customFormat="false" ht="15" hidden="false" customHeight="false" outlineLevel="0" collapsed="false">
      <c r="A217" s="0" t="s">
        <v>193</v>
      </c>
      <c r="C217" s="0" t="n">
        <v>0</v>
      </c>
      <c r="D217" s="8" t="n">
        <f aca="false">C217*(1-$E$37)+D214</f>
        <v>0.924</v>
      </c>
      <c r="E217" s="8" t="n">
        <f aca="false">D217*(1-$E$37)+E214</f>
        <v>1.94502</v>
      </c>
      <c r="F217" s="8" t="n">
        <f aca="false">E217*(1-$E$37)+F214</f>
        <v>3.0777747</v>
      </c>
      <c r="G217" s="8" t="n">
        <f aca="false">F217*(1-$E$37)+G214</f>
        <v>4.3389992415</v>
      </c>
      <c r="H217" s="8" t="n">
        <f aca="false">G217*(1-$E$37)+H214</f>
        <v>5.7477334558875</v>
      </c>
      <c r="I217" s="8" t="n">
        <f aca="false">H217*(1-$E$37)+I214</f>
        <v>7.32564585906904</v>
      </c>
      <c r="J217" s="8" t="n">
        <f aca="false">I217*(1-$E$37)+J214</f>
        <v>9.09740295851849</v>
      </c>
      <c r="K217" s="8" t="n">
        <f aca="false">J217*(1-$E$37)+K214</f>
        <v>11.0910902181196</v>
      </c>
      <c r="L217" s="8" t="n">
        <f aca="false">K217*(1-$E$37)+L214</f>
        <v>13.3386919144755</v>
      </c>
      <c r="M217" s="8" t="n">
        <f aca="false">L217*(1-$E$37)+M214</f>
        <v>15.8766381310176</v>
      </c>
      <c r="N217" s="8" t="n">
        <f aca="false">M217*(1-$E$37)+N214</f>
        <v>18.7464282906775</v>
      </c>
      <c r="O217" s="8" t="n">
        <f aca="false">N217*(1-$E$37)+O214</f>
        <v>21.9953419439438</v>
      </c>
      <c r="P217" s="8" t="n">
        <f aca="false">O217*(1-$E$37)+P214</f>
        <v>25.6772490294273</v>
      </c>
      <c r="Q217" s="8" t="n">
        <f aca="false">P217*(1-$E$37)+Q214</f>
        <v>29.8535335344119</v>
      </c>
      <c r="R217" s="8" t="n">
        <f aca="false">Q217*(1-$E$37)+R214</f>
        <v>34.594146432664</v>
      </c>
      <c r="S217" s="8" t="n">
        <f aca="false">R217*(1-$E$37)+S214</f>
        <v>39.9788059995513</v>
      </c>
      <c r="T217" s="8" t="n">
        <f aca="false">S217*(1-$E$37)+T214</f>
        <v>46.0983661384818</v>
      </c>
      <c r="U217" s="8" t="n">
        <f aca="false">T217*(1-$E$37)+U214</f>
        <v>53.0563762413978</v>
      </c>
      <c r="V217" s="8" t="n">
        <f aca="false">U217*(1-$E$37)+V214</f>
        <v>60.9708593991985</v>
      </c>
      <c r="W217" s="8" t="n">
        <f aca="false">V217*(1-$E$37)+W214</f>
        <v>69.9763395321511</v>
      </c>
      <c r="X217" s="8" t="n">
        <f aca="false">W217*(1-$E$37)+X214</f>
        <v>80.2261522901199</v>
      </c>
      <c r="Y217" s="8" t="n">
        <f aca="false">X217*(1-$E$37)+Y214</f>
        <v>91.8950794513829</v>
      </c>
      <c r="Z217" s="8" t="n">
        <f aca="false">Y217*(1-$E$37)+Z214</f>
        <v>105.1823521108</v>
      </c>
      <c r="AA217" s="8" t="n">
        <f aca="false">Z217*(1-$E$37)+AA214</f>
        <v>120.315074288768</v>
      </c>
      <c r="AB217" s="8" t="n">
        <f aca="false">AA217*(1-$E$37)+AB214</f>
        <v>137.552125820765</v>
      </c>
      <c r="AC217" s="8" t="n">
        <f aca="false">AB217*(1-$E$37)+AC214</f>
        <v>157.188611627637</v>
      </c>
      <c r="AD217" s="8" t="n">
        <f aca="false">AC217*(1-$E$37)+AD214</f>
        <v>179.560933860753</v>
      </c>
      <c r="AE217" s="8" t="n">
        <f aca="false">AD217*(1-$E$37)+AE214</f>
        <v>205.052574125321</v>
      </c>
      <c r="AF217" s="8" t="n">
        <f aca="false">AE217*(1-$E$37)+AF214</f>
        <v>234.100685193586</v>
      </c>
      <c r="AG217" s="8" t="n">
        <f aca="false">AF217*(1-$E$37)+AG214</f>
        <v>267.203605537233</v>
      </c>
      <c r="AH217" s="8" t="n">
        <f aca="false">AG217*(1-$E$37)+AH214</f>
        <v>304.929425874412</v>
      </c>
      <c r="AI217" s="8" t="n">
        <f aca="false">AH217*(1-$E$37)+AI214</f>
        <v>347.925755014126</v>
      </c>
      <c r="AJ217" s="8" t="n">
        <f aca="false">AI217*(1-$E$37)+AJ214</f>
        <v>396.930852900296</v>
      </c>
      <c r="AK217" s="8" t="n">
        <f aca="false">AJ217*(1-$E$37)+AK214</f>
        <v>452.786322264082</v>
      </c>
      <c r="AL217" s="8" t="n">
        <f aca="false">AK217*(1-$E$37)+AL214</f>
        <v>516.451577090278</v>
      </c>
      <c r="AM217" s="8" t="n">
        <f aca="false">AL217*(1-$E$37)+AM214</f>
        <v>589.020336652318</v>
      </c>
      <c r="AN217" s="8" t="n">
        <f aca="false">AM217*(1-$E$37)+AN214</f>
        <v>660.804624869487</v>
      </c>
      <c r="AO217" s="8" t="n">
        <f aca="false">AN217*(1-$E$37)+AO214</f>
        <v>730.076462999055</v>
      </c>
      <c r="AP217" s="8" t="n">
        <f aca="false">AO217*(1-$E$37)+AP214</f>
        <v>796.923786794088</v>
      </c>
      <c r="AQ217" s="8" t="n">
        <f aca="false">AP217*(1-$E$37)+AQ214</f>
        <v>861.431454256295</v>
      </c>
      <c r="AR217" s="8" t="n">
        <f aca="false">AQ217*(1-$E$37)+AR214</f>
        <v>923.681353357325</v>
      </c>
      <c r="AS217" s="8" t="n">
        <f aca="false">AR217*(1-$E$37)+AS214</f>
        <v>983.752505989819</v>
      </c>
      <c r="AT217" s="8" t="n">
        <f aca="false">AS217*(1-$E$37)+AT214</f>
        <v>1041.72116828017</v>
      </c>
      <c r="AU217" s="8" t="n">
        <f aca="false">AT217*(1-$E$37)+AU214</f>
        <v>1097.66092739037</v>
      </c>
      <c r="AV217" s="8" t="n">
        <f aca="false">AU217*(1-$E$37)+AV214</f>
        <v>1151.64279493171</v>
      </c>
      <c r="AW217" s="8" t="n">
        <f aca="false">AV217*(1-$E$37)+AW214</f>
        <v>1203.7352971091</v>
      </c>
      <c r="AX217" s="8" t="n">
        <f aca="false">AW217*(1-$E$37)+AX214</f>
        <v>1254.00456171028</v>
      </c>
      <c r="AY217" s="8" t="n">
        <f aca="false">AX217*(1-$E$37)+AY214</f>
        <v>1302.51440205042</v>
      </c>
      <c r="AZ217" s="8" t="n">
        <f aca="false">AY217*(1-$E$37)+AZ214</f>
        <v>1349.32639797865</v>
      </c>
      <c r="BA217" s="8" t="n">
        <f aca="false">AZ217*(1-$E$37)+BA214</f>
        <v>1394.4999740494</v>
      </c>
      <c r="BB217" s="8" t="n">
        <f aca="false">BA217*(1-$E$37)+BB214</f>
        <v>1438.09247495767</v>
      </c>
      <c r="BC217" s="8" t="n">
        <f aca="false">BB217*(1-$E$37)+BC214</f>
        <v>1480.15923833415</v>
      </c>
      <c r="BD217" s="8" t="n">
        <f aca="false">BC217*(1-$E$37)+BD214</f>
        <v>1520.75366499246</v>
      </c>
      <c r="BE217" s="8" t="n">
        <f aca="false">BD217*(1-$E$37)+BE214</f>
        <v>1559.92728671772</v>
      </c>
      <c r="BF217" s="8" t="n">
        <f aca="false">BE217*(1-$E$37)+BF214</f>
        <v>1597.7298316826</v>
      </c>
      <c r="BG217" s="8" t="n">
        <f aca="false">BF217*(1-$E$37)+BG214</f>
        <v>1634.20928757371</v>
      </c>
      <c r="BH217" s="8" t="n">
        <f aca="false">BG217*(1-$E$37)+BH214</f>
        <v>1669.41196250863</v>
      </c>
      <c r="BI217" s="8" t="n">
        <f aca="false">BH217*(1-$E$37)+BI214</f>
        <v>1703.38254382083</v>
      </c>
      <c r="BJ217" s="8" t="n">
        <f aca="false">BI217*(1-$E$37)+BJ214</f>
        <v>1736.1641547871</v>
      </c>
      <c r="BK217" s="8" t="n">
        <f aca="false">BJ217*(1-$E$37)+BK214</f>
        <v>1767.79840936955</v>
      </c>
    </row>
    <row r="218" customFormat="false" ht="15" hidden="false" customHeight="false" outlineLevel="0" collapsed="false">
      <c r="A218" s="6" t="s">
        <v>194</v>
      </c>
      <c r="D218" s="8" t="n">
        <f aca="false">D215+D216+D217</f>
        <v>6.16</v>
      </c>
      <c r="E218" s="8" t="n">
        <f aca="false">E215+E216+E217</f>
        <v>12.83282</v>
      </c>
      <c r="F218" s="8" t="n">
        <f aca="false">F215+F216+F217</f>
        <v>20.1111295</v>
      </c>
      <c r="G218" s="8" t="n">
        <f aca="false">G215+G216+G217</f>
        <v>28.0992733175</v>
      </c>
      <c r="H218" s="8" t="n">
        <f aca="false">H215+H216+H217</f>
        <v>36.9149894742475</v>
      </c>
      <c r="I218" s="8" t="n">
        <f aca="false">I215+I216+I217</f>
        <v>46.6913621096991</v>
      </c>
      <c r="J218" s="8" t="n">
        <f aca="false">J215+J216+J217</f>
        <v>57.5790426912574</v>
      </c>
      <c r="K218" s="8" t="n">
        <f aca="false">K215+K216+K217</f>
        <v>69.7487774243411</v>
      </c>
      <c r="L218" s="8" t="n">
        <f aca="false">L215+L216+L217</f>
        <v>83.3942840486557</v>
      </c>
      <c r="M218" s="8" t="n">
        <f aca="false">M215+M216+M217</f>
        <v>98.7355272315886</v>
      </c>
      <c r="N218" s="8" t="n">
        <f aca="false">N215+N216+N217</f>
        <v>116.022448639113</v>
      </c>
      <c r="O218" s="8" t="n">
        <f aca="false">O215+O216+O217</f>
        <v>135.539215597145</v>
      </c>
      <c r="P218" s="8" t="n">
        <f aca="false">P215+P216+P217</f>
        <v>157.60906118669</v>
      </c>
      <c r="Q218" s="8" t="n">
        <f aca="false">Q215+Q216+Q217</f>
        <v>182.599798797942</v>
      </c>
      <c r="R218" s="8" t="n">
        <f aca="false">R215+R216+R217</f>
        <v>210.930105776906</v>
      </c>
      <c r="S218" s="8" t="n">
        <f aca="false">S215+S216+S217</f>
        <v>243.076684032708</v>
      </c>
      <c r="T218" s="8" t="n">
        <f aca="false">T215+T216+T217</f>
        <v>279.582420562173</v>
      </c>
      <c r="U218" s="8" t="n">
        <f aca="false">U215+U216+U217</f>
        <v>321.065688049917</v>
      </c>
      <c r="V218" s="8" t="n">
        <f aca="false">V215+V216+V217</f>
        <v>368.230945312955</v>
      </c>
      <c r="W218" s="8" t="n">
        <f aca="false">W215+W216+W217</f>
        <v>421.88081971585</v>
      </c>
      <c r="X218" s="8" t="n">
        <f aca="false">X215+X216+X217</f>
        <v>482.929879170143</v>
      </c>
      <c r="Y218" s="8" t="n">
        <f aca="false">Y215+Y216+Y217</f>
        <v>552.420330388531</v>
      </c>
      <c r="Z218" s="8" t="n">
        <f aca="false">Z215+Z216+Z217</f>
        <v>631.539913189439</v>
      </c>
      <c r="AA218" s="8" t="n">
        <f aca="false">AA215+AA216+AA217</f>
        <v>721.642298411083</v>
      </c>
      <c r="AB218" s="8" t="n">
        <f aca="false">AB215+AB216+AB217</f>
        <v>824.270340044825</v>
      </c>
      <c r="AC218" s="8" t="n">
        <f aca="false">AC215+AC216+AC217</f>
        <v>941.182581276082</v>
      </c>
      <c r="AD218" s="8" t="n">
        <f aca="false">AD215+AD216+AD217</f>
        <v>1074.38347007085</v>
      </c>
      <c r="AE218" s="8" t="n">
        <f aca="false">AE215+AE216+AE217</f>
        <v>1226.15780372919</v>
      </c>
      <c r="AF218" s="8" t="n">
        <f aca="false">AF215+AF216+AF217</f>
        <v>1399.1099945404</v>
      </c>
      <c r="AG218" s="8" t="n">
        <f aca="false">AG215+AG216+AG217</f>
        <v>1596.20883156802</v>
      </c>
      <c r="AH218" s="8" t="n">
        <f aca="false">AH215+AH216+AH217</f>
        <v>1820.83850809211</v>
      </c>
      <c r="AI218" s="8" t="n">
        <f aca="false">AI215+AI216+AI217</f>
        <v>2076.85679196521</v>
      </c>
      <c r="AJ218" s="8" t="n">
        <f aca="false">AJ215+AJ216+AJ217</f>
        <v>2368.6613389502</v>
      </c>
      <c r="AK218" s="8" t="n">
        <f aca="false">AK215+AK216+AK217</f>
        <v>2701.26528911381</v>
      </c>
      <c r="AL218" s="8" t="n">
        <f aca="false">AL215+AL216+AL217</f>
        <v>3080.38344595595</v>
      </c>
      <c r="AM218" s="8" t="n">
        <f aca="false">AM215+AM216+AM217</f>
        <v>3512.5305199072</v>
      </c>
      <c r="AN218" s="8" t="n">
        <f aca="false">AN215+AN216+AN217</f>
        <v>3932.23443307398</v>
      </c>
      <c r="AO218" s="8" t="n">
        <f aca="false">AO215+AO216+AO217</f>
        <v>4328.55125551781</v>
      </c>
      <c r="AP218" s="8" t="n">
        <f aca="false">AP215+AP216+AP217</f>
        <v>4702.85616118068</v>
      </c>
      <c r="AQ218" s="8" t="n">
        <f aca="false">AQ215+AQ216+AQ217</f>
        <v>5056.43983891276</v>
      </c>
      <c r="AR218" s="8" t="n">
        <f aca="false">AR215+AR216+AR217</f>
        <v>5390.51386374093</v>
      </c>
      <c r="AS218" s="8" t="n">
        <f aca="false">AS215+AS216+AS217</f>
        <v>5706.21571766701</v>
      </c>
      <c r="AT218" s="8" t="n">
        <f aca="false">AT215+AT216+AT217</f>
        <v>6004.61348330938</v>
      </c>
      <c r="AU218" s="8" t="n">
        <f aca="false">AU215+AU216+AU217</f>
        <v>6286.71023212848</v>
      </c>
      <c r="AV218" s="8" t="n">
        <f aca="false">AV215+AV216+AV217</f>
        <v>6553.44812751105</v>
      </c>
      <c r="AW218" s="8" t="n">
        <f aca="false">AW215+AW216+AW217</f>
        <v>6805.71226162214</v>
      </c>
      <c r="AX218" s="8" t="n">
        <f aca="false">AX215+AX216+AX217</f>
        <v>7044.33424366095</v>
      </c>
      <c r="AY218" s="8" t="n">
        <f aca="false">AY215+AY216+AY217</f>
        <v>7270.0955559704</v>
      </c>
      <c r="AZ218" s="8" t="n">
        <f aca="false">AZ215+AZ216+AZ217</f>
        <v>7483.73069334481</v>
      </c>
      <c r="BA218" s="8" t="n">
        <f aca="false">BA215+BA216+BA217</f>
        <v>7685.93009984947</v>
      </c>
      <c r="BB218" s="8" t="n">
        <f aca="false">BB215+BB216+BB217</f>
        <v>7877.3429165058</v>
      </c>
      <c r="BC218" s="8" t="n">
        <f aca="false">BC215+BC216+BC217</f>
        <v>8058.57955230028</v>
      </c>
      <c r="BD218" s="8" t="n">
        <f aca="false">BD215+BD216+BD217</f>
        <v>8230.214090141</v>
      </c>
      <c r="BE218" s="8" t="n">
        <f aca="false">BE215+BE216+BE217</f>
        <v>8392.7865386079</v>
      </c>
      <c r="BF218" s="8" t="n">
        <f aca="false">BF215+BF216+BF217</f>
        <v>8546.80493961741</v>
      </c>
      <c r="BG218" s="8" t="n">
        <f aca="false">BG215+BG216+BG217</f>
        <v>8692.74734144618</v>
      </c>
      <c r="BH218" s="8" t="n">
        <f aca="false">BH215+BH216+BH217</f>
        <v>8831.06364592846</v>
      </c>
      <c r="BI218" s="8" t="n">
        <f aca="false">BI215+BI216+BI217</f>
        <v>8962.17733805379</v>
      </c>
      <c r="BJ218" s="8" t="n">
        <f aca="false">BJ215+BJ216+BJ217</f>
        <v>9086.48710564364</v>
      </c>
      <c r="BK218" s="8" t="n">
        <f aca="false">BK215+BK216+BK217</f>
        <v>9204.36835627503</v>
      </c>
    </row>
    <row r="219" customFormat="false" ht="15" hidden="false" customHeight="false" outlineLevel="0" collapsed="false">
      <c r="A219" s="0" t="s">
        <v>195</v>
      </c>
      <c r="D219" s="8" t="n">
        <f aca="false">C215*$E$35+C216*$E$36+C217*$E$37</f>
        <v>0</v>
      </c>
      <c r="E219" s="8" t="n">
        <f aca="false">D215*$E$35+D216*$E$36+D217*$E$37</f>
        <v>0.34958</v>
      </c>
      <c r="F219" s="8" t="n">
        <f aca="false">E215*$E$35+E216*$E$36+E217*$E$37</f>
        <v>0.7272265</v>
      </c>
      <c r="G219" s="8" t="n">
        <f aca="false">F215*$E$35+F216*$E$36+F217*$E$37</f>
        <v>1.1381672225</v>
      </c>
      <c r="H219" s="8" t="n">
        <f aca="false">G215*$E$35+G216*$E$36+G217*$E$37</f>
        <v>1.5882784288525</v>
      </c>
      <c r="I219" s="8" t="n">
        <f aca="false">H215*$E$35+H216*$E$36+H217*$E$37</f>
        <v>2.08418119213246</v>
      </c>
      <c r="J219" s="8" t="n">
        <f aca="false">I215*$E$35+I216*$E$36+I217*$E$37</f>
        <v>2.63335078188749</v>
      </c>
      <c r="K219" s="8" t="n">
        <f aca="false">J215*$E$35+J216*$E$36+J217*$E$37</f>
        <v>3.24424102124447</v>
      </c>
      <c r="L219" s="8" t="n">
        <f aca="false">K215*$E$35+K216*$E$36+K217*$E$37</f>
        <v>3.92642573561944</v>
      </c>
      <c r="M219" s="8" t="n">
        <f aca="false">L215*$E$35+L216*$E$36+L217*$E$37</f>
        <v>4.69075970739205</v>
      </c>
      <c r="N219" s="8" t="n">
        <f aca="false">M215*$E$35+M216*$E$36+M217*$E$37</f>
        <v>5.54956188744613</v>
      </c>
      <c r="O219" s="8" t="n">
        <f aca="false">N215*$E$35+N216*$E$36+N217*$E$37</f>
        <v>6.51682399823394</v>
      </c>
      <c r="P219" s="8" t="n">
        <f aca="false">O215*$E$35+O216*$E$36+O217*$E$37</f>
        <v>7.60844810059827</v>
      </c>
      <c r="Q219" s="8" t="n">
        <f aca="false">P215*$E$35+P216*$E$36+P217*$E$37</f>
        <v>8.84251719551156</v>
      </c>
      <c r="R219" s="8" t="n">
        <f aca="false">Q215*$E$35+Q216*$E$36+Q217*$E$37</f>
        <v>10.239603500747</v>
      </c>
      <c r="S219" s="8" t="n">
        <f aca="false">R215*$E$35+R216*$E$36+R217*$E$37</f>
        <v>11.8231196910681</v>
      </c>
      <c r="T219" s="8" t="n">
        <f aca="false">S215*$E$35+S216*$E$36+S217*$E$37</f>
        <v>13.6197191299669</v>
      </c>
      <c r="U219" s="8" t="n">
        <f aca="false">T215*$E$35+T216*$E$36+T217*$E$37</f>
        <v>15.6597519640083</v>
      </c>
      <c r="V219" s="8" t="n">
        <f aca="false">U215*$E$35+U216*$E$36+U217*$E$37</f>
        <v>17.9777849119592</v>
      </c>
      <c r="W219" s="8" t="n">
        <f aca="false">V215*$E$35+V216*$E$36+V217*$E$37</f>
        <v>20.6131936766032</v>
      </c>
      <c r="X219" s="8" t="n">
        <f aca="false">W215*$E$35+W216*$E$36+W217*$E$37</f>
        <v>23.610838156333</v>
      </c>
      <c r="Y219" s="8" t="n">
        <f aca="false">X215*$E$35+X216*$E$36+X217*$E$37</f>
        <v>27.0218320577272</v>
      </c>
      <c r="Z219" s="8" t="n">
        <f aca="false">Y215*$E$35+Y216*$E$36+Y217*$E$37</f>
        <v>30.9044201338627</v>
      </c>
      <c r="AA219" s="8" t="n">
        <f aca="false">Z215*$E$35+Z216*$E$36+Z217*$E$37</f>
        <v>35.3249781239953</v>
      </c>
      <c r="AB219" s="8" t="n">
        <f aca="false">AA215*$E$35+AA216*$E$36+AA217*$E$37</f>
        <v>40.3591525802857</v>
      </c>
      <c r="AC219" s="8" t="n">
        <f aca="false">AB215*$E$35+AB216*$E$36+AB217*$E$37</f>
        <v>46.0931601727347</v>
      </c>
      <c r="AD219" s="8" t="n">
        <f aca="false">AC215*$E$35+AC216*$E$36+AC217*$E$37</f>
        <v>52.6252688057841</v>
      </c>
      <c r="AE219" s="8" t="n">
        <f aca="false">AD215*$E$35+AD216*$E$36+AD217*$E$37</f>
        <v>60.067486006283</v>
      </c>
      <c r="AF219" s="8" t="n">
        <f aca="false">AE215*$E$35+AE216*$E$36+AE217*$E$37</f>
        <v>68.5474836064678</v>
      </c>
      <c r="AG219" s="8" t="n">
        <f aca="false">AF215*$E$35+AF216*$E$36+AF217*$E$37</f>
        <v>78.2107918085312</v>
      </c>
      <c r="AH219" s="8" t="n">
        <f aca="false">AG215*$E$35+AG216*$E$36+AG217*$E$37</f>
        <v>89.2233003491238</v>
      </c>
      <c r="AI219" s="8" t="n">
        <f aca="false">AH215*$E$35+AH216*$E$36+AH217*$E$37</f>
        <v>101.774109762365</v>
      </c>
      <c r="AJ219" s="8" t="n">
        <f aca="false">AI215*$E$35+AI216*$E$36+AI217*$E$37</f>
        <v>116.078781759432</v>
      </c>
      <c r="AK219" s="8" t="n">
        <f aca="false">AJ215*$E$35+AJ216*$E$36+AJ217*$E$37</f>
        <v>132.383044605042</v>
      </c>
      <c r="AL219" s="8" t="n">
        <f aca="false">AK215*$E$35+AK216*$E$36+AK217*$E$37</f>
        <v>150.967017194111</v>
      </c>
      <c r="AM219" s="8" t="n">
        <f aca="false">AL215*$E$35+AL216*$E$36+AL217*$E$37</f>
        <v>172.150024450085</v>
      </c>
      <c r="AN219" s="8" t="n">
        <f aca="false">AM215*$E$35+AM216*$E$36+AM217*$E$37</f>
        <v>196.296086833223</v>
      </c>
      <c r="AO219" s="8" t="n">
        <f aca="false">AN215*$E$35+AN216*$E$36+AN217*$E$37</f>
        <v>219.683177556169</v>
      </c>
      <c r="AP219" s="8" t="n">
        <f aca="false">AO215*$E$35+AO216*$E$36+AO217*$E$37</f>
        <v>241.695094337132</v>
      </c>
      <c r="AQ219" s="8" t="n">
        <f aca="false">AP215*$E$35+AP216*$E$36+AP217*$E$37</f>
        <v>262.416322267914</v>
      </c>
      <c r="AR219" s="8" t="n">
        <f aca="false">AQ215*$E$35+AQ216*$E$36+AQ217*$E$37</f>
        <v>281.925975171829</v>
      </c>
      <c r="AS219" s="8" t="n">
        <f aca="false">AR215*$E$35+AR216*$E$36+AR217*$E$37</f>
        <v>300.29814607392</v>
      </c>
      <c r="AT219" s="8" t="n">
        <f aca="false">AS215*$E$35+AS216*$E$36+AS217*$E$37</f>
        <v>317.60223435763</v>
      </c>
      <c r="AU219" s="8" t="n">
        <f aca="false">AT215*$E$35+AT216*$E$36+AT217*$E$37</f>
        <v>333.903251180905</v>
      </c>
      <c r="AV219" s="8" t="n">
        <f aca="false">AU215*$E$35+AU216*$E$36+AU217*$E$37</f>
        <v>349.262104617432</v>
      </c>
      <c r="AW219" s="8" t="n">
        <f aca="false">AV215*$E$35+AV216*$E$36+AV217*$E$37</f>
        <v>363.73586588891</v>
      </c>
      <c r="AX219" s="8" t="n">
        <f aca="false">AW215*$E$35+AW216*$E$36+AW217*$E$37</f>
        <v>377.37801796119</v>
      </c>
      <c r="AY219" s="8" t="n">
        <f aca="false">AX215*$E$35+AX216*$E$36+AX217*$E$37</f>
        <v>390.238687690542</v>
      </c>
      <c r="AZ219" s="8" t="n">
        <f aca="false">AY215*$E$35+AY216*$E$36+AY217*$E$37</f>
        <v>402.364862625593</v>
      </c>
      <c r="BA219" s="8" t="n">
        <f aca="false">AZ215*$E$35+AZ216*$E$36+AZ217*$E$37</f>
        <v>413.800593495342</v>
      </c>
      <c r="BB219" s="8" t="n">
        <f aca="false">BA215*$E$35+BA216*$E$36+BA217*$E$37</f>
        <v>424.587183343669</v>
      </c>
      <c r="BC219" s="8" t="n">
        <f aca="false">BB215*$E$35+BB216*$E$36+BB217*$E$37</f>
        <v>434.763364205526</v>
      </c>
      <c r="BD219" s="8" t="n">
        <f aca="false">BC215*$E$35+BC216*$E$36+BC217*$E$37</f>
        <v>444.36546215928</v>
      </c>
      <c r="BE219" s="8" t="n">
        <f aca="false">BD215*$E$35+BD216*$E$36+BD217*$E$37</f>
        <v>453.427551533092</v>
      </c>
      <c r="BF219" s="8" t="n">
        <f aca="false">BE215*$E$35+BE216*$E$36+BE217*$E$37</f>
        <v>461.981598990493</v>
      </c>
      <c r="BG219" s="8" t="n">
        <f aca="false">BF215*$E$35+BF216*$E$36+BF217*$E$37</f>
        <v>470.057598171235</v>
      </c>
      <c r="BH219" s="8" t="n">
        <f aca="false">BG215*$E$35+BG216*$E$36+BG217*$E$37</f>
        <v>477.683695517714</v>
      </c>
      <c r="BI219" s="8" t="n">
        <f aca="false">BH215*$E$35+BH216*$E$36+BH217*$E$37</f>
        <v>484.886307874674</v>
      </c>
      <c r="BJ219" s="8" t="n">
        <f aca="false">BI215*$E$35+BI216*$E$36+BI217*$E$37</f>
        <v>491.690232410146</v>
      </c>
      <c r="BK219" s="8" t="n">
        <f aca="false">BJ215*$E$35+BJ216*$E$36+BJ217*$E$37</f>
        <v>498.118749368611</v>
      </c>
    </row>
    <row r="220" customFormat="false" ht="15" hidden="false" customHeight="false" outlineLevel="0" collapsed="false">
      <c r="A220" s="0" t="s">
        <v>196</v>
      </c>
      <c r="D220" s="7" t="n">
        <f aca="false">D215*$E$6+D216*$E$7+D217*$E$8</f>
        <v>258.6584</v>
      </c>
      <c r="E220" s="7" t="n">
        <f aca="false">E215*$E$6+E216*$E$7+E217*$E$8</f>
        <v>540.8736718</v>
      </c>
      <c r="F220" s="7" t="n">
        <f aca="false">F215*$E$6+F216*$E$7+F217*$E$8</f>
        <v>850.605614705</v>
      </c>
      <c r="G220" s="7" t="n">
        <f aca="false">G215*$E$6+G216*$E$7+G217*$E$8</f>
        <v>1192.33157533683</v>
      </c>
      <c r="H220" s="7" t="n">
        <f aca="false">H215*$E$6+H216*$E$7+H217*$E$8</f>
        <v>1571.12106619721</v>
      </c>
      <c r="I220" s="7" t="n">
        <f aca="false">I215*$E$6+I216*$E$7+I217*$E$8</f>
        <v>1992.72069820345</v>
      </c>
      <c r="J220" s="7" t="n">
        <f aca="false">J215*$E$6+J216*$E$7+J217*$E$8</f>
        <v>2463.65087957396</v>
      </c>
      <c r="K220" s="7" t="n">
        <f aca="false">K215*$E$6+K216*$E$7+K217*$E$8</f>
        <v>2991.31593622496</v>
      </c>
      <c r="L220" s="7" t="n">
        <f aca="false">L215*$E$6+L216*$E$7+L217*$E$8</f>
        <v>3584.12954004968</v>
      </c>
      <c r="M220" s="7" t="n">
        <f aca="false">M215*$E$6+M216*$E$7+M217*$E$8</f>
        <v>4251.65759506518</v>
      </c>
      <c r="N220" s="7" t="n">
        <f aca="false">N215*$E$6+N216*$E$7+N217*$E$8</f>
        <v>5004.78103196287</v>
      </c>
      <c r="O220" s="7" t="n">
        <f aca="false">O215*$E$6+O216*$E$7+O217*$E$8</f>
        <v>5855.88130425726</v>
      </c>
      <c r="P220" s="7" t="n">
        <f aca="false">P215*$E$6+P216*$E$7+P217*$E$8</f>
        <v>6819.05176988464</v>
      </c>
      <c r="Q220" s="7" t="n">
        <f aca="false">Q215*$E$6+Q216*$E$7+Q217*$E$8</f>
        <v>7910.33858747955</v>
      </c>
      <c r="R220" s="7" t="n">
        <f aca="false">R215*$E$6+R216*$E$7+R217*$E$8</f>
        <v>9148.01526430852</v>
      </c>
      <c r="S220" s="7" t="n">
        <f aca="false">S215*$E$6+S216*$E$7+S217*$E$8</f>
        <v>10552.8955717009</v>
      </c>
      <c r="T220" s="7" t="n">
        <f aca="false">T215*$E$6+T216*$E$7+T217*$E$8</f>
        <v>12148.6902037375</v>
      </c>
      <c r="U220" s="7" t="n">
        <f aca="false">U215*$E$6+U216*$E$7+U217*$E$8</f>
        <v>13962.4133072873</v>
      </c>
      <c r="V220" s="7" t="n">
        <f aca="false">V215*$E$6+V216*$E$7+V217*$E$8</f>
        <v>16024.8458691566</v>
      </c>
      <c r="W220" s="7" t="n">
        <f aca="false">W215*$E$6+W216*$E$7+W217*$E$8</f>
        <v>18371.0639238809</v>
      </c>
      <c r="X220" s="7" t="n">
        <f aca="false">X215*$E$6+X216*$E$7+X217*$E$8</f>
        <v>21041.0406603565</v>
      </c>
      <c r="Y220" s="7" t="n">
        <f aca="false">Y215*$E$6+Y216*$E$7+Y217*$E$8</f>
        <v>24080.3327762475</v>
      </c>
      <c r="Z220" s="7" t="n">
        <f aca="false">Z215*$E$6+Z216*$E$7+Z217*$E$8</f>
        <v>27540.8628777552</v>
      </c>
      <c r="AA220" s="7" t="n">
        <f aca="false">AA215*$E$6+AA216*$E$7+AA217*$E$8</f>
        <v>31481.811373818</v>
      </c>
      <c r="AB220" s="7" t="n">
        <f aca="false">AB215*$E$6+AB216*$E$7+AB217*$E$8</f>
        <v>35970.6331965026</v>
      </c>
      <c r="AC220" s="7" t="n">
        <f aca="false">AC215*$E$6+AC216*$E$7+AC217*$E$8</f>
        <v>41084.2168256379</v>
      </c>
      <c r="AD220" s="7" t="n">
        <f aca="false">AD215*$E$6+AD216*$E$7+AD217*$E$8</f>
        <v>46910.2055425141</v>
      </c>
      <c r="AE220" s="7" t="n">
        <f aca="false">AE215*$E$6+AE216*$E$7+AE217*$E$8</f>
        <v>53548.5036268092</v>
      </c>
      <c r="AF220" s="7" t="n">
        <f aca="false">AF215*$E$6+AF216*$E$7+AF217*$E$8</f>
        <v>61112.9933907514</v>
      </c>
      <c r="AG220" s="7" t="n">
        <f aca="false">AG215*$E$6+AG216*$E$7+AG217*$E$8</f>
        <v>69733.4925695667</v>
      </c>
      <c r="AH220" s="7" t="n">
        <f aca="false">AH215*$E$6+AH216*$E$7+AH217*$E$8</f>
        <v>79557.9857198125</v>
      </c>
      <c r="AI220" s="7" t="n">
        <f aca="false">AI215*$E$6+AI216*$E$7+AI217*$E$8</f>
        <v>90755.1679883126</v>
      </c>
      <c r="AJ220" s="7" t="n">
        <f aca="false">AJ215*$E$6+AJ216*$E$7+AJ217*$E$8</f>
        <v>103517.344985091</v>
      </c>
      <c r="AK220" s="7" t="n">
        <f aca="false">AK215*$E$6+AK216*$E$7+AK217*$E$8</f>
        <v>118063.738616278</v>
      </c>
      <c r="AL220" s="7" t="n">
        <f aca="false">AL215*$E$6+AL216*$E$7+AL217*$E$8</f>
        <v>134644.255712722</v>
      </c>
      <c r="AM220" s="7" t="n">
        <f aca="false">AM215*$E$6+AM216*$E$7+AM217*$E$8</f>
        <v>153543.784246942</v>
      </c>
      <c r="AN220" s="7" t="n">
        <f aca="false">AN215*$E$6+AN216*$E$7+AN217*$E$8</f>
        <v>172026.074917429</v>
      </c>
      <c r="AO220" s="7" t="n">
        <f aca="false">AO215*$E$6+AO216*$E$7+AO217*$E$8</f>
        <v>189622.37831791</v>
      </c>
      <c r="AP220" s="7" t="n">
        <f aca="false">AP215*$E$6+AP216*$E$7+AP217*$E$8</f>
        <v>206378.093201705</v>
      </c>
      <c r="AQ220" s="7" t="n">
        <f aca="false">AQ215*$E$6+AQ216*$E$7+AQ217*$E$8</f>
        <v>222336.139536737</v>
      </c>
      <c r="AR220" s="7" t="n">
        <f aca="false">AR215*$E$6+AR216*$E$7+AR217*$E$8</f>
        <v>237537.101680316</v>
      </c>
      <c r="AS220" s="7" t="n">
        <f aca="false">AS215*$E$6+AS216*$E$7+AS217*$E$8</f>
        <v>252019.36288712</v>
      </c>
      <c r="AT220" s="7" t="n">
        <f aca="false">AT215*$E$6+AT216*$E$7+AT217*$E$8</f>
        <v>265819.231694951</v>
      </c>
      <c r="AU220" s="7" t="n">
        <f aca="false">AU215*$E$6+AU216*$E$7+AU217*$E$8</f>
        <v>278971.060697601</v>
      </c>
      <c r="AV220" s="7" t="n">
        <f aca="false">AV215*$E$6+AV216*$E$7+AV217*$E$8</f>
        <v>291507.3581813</v>
      </c>
      <c r="AW220" s="7" t="n">
        <f aca="false">AW215*$E$6+AW216*$E$7+AW217*$E$8</f>
        <v>303458.893070481</v>
      </c>
      <c r="AX220" s="7" t="n">
        <f aca="false">AX215*$E$6+AX216*$E$7+AX217*$E$8</f>
        <v>314854.793599935</v>
      </c>
      <c r="AY220" s="7" t="n">
        <f aca="false">AY215*$E$6+AY216*$E$7+AY217*$E$8</f>
        <v>325722.640103596</v>
      </c>
      <c r="AZ220" s="7" t="n">
        <f aca="false">AZ215*$E$6+AZ216*$E$7+AZ217*$E$8</f>
        <v>336088.552285183</v>
      </c>
      <c r="BA220" s="7" t="n">
        <f aca="false">BA215*$E$6+BA216*$E$7+BA217*$E$8</f>
        <v>345977.271312525</v>
      </c>
      <c r="BB220" s="7" t="n">
        <f aca="false">BB215*$E$6+BB216*$E$7+BB217*$E$8</f>
        <v>355412.237055517</v>
      </c>
      <c r="BC220" s="7" t="n">
        <f aca="false">BC215*$E$6+BC216*$E$7+BC217*$E$8</f>
        <v>364415.66076727</v>
      </c>
      <c r="BD220" s="7" t="n">
        <f aca="false">BD215*$E$6+BD216*$E$7+BD217*$E$8</f>
        <v>373008.593488867</v>
      </c>
      <c r="BE220" s="7" t="n">
        <f aca="false">BE215*$E$6+BE216*$E$7+BE217*$E$8</f>
        <v>381210.990440364</v>
      </c>
      <c r="BF220" s="7" t="n">
        <f aca="false">BF215*$E$6+BF216*$E$7+BF217*$E$8</f>
        <v>389041.771643926</v>
      </c>
      <c r="BG220" s="7" t="n">
        <f aca="false">BG215*$E$6+BG216*$E$7+BG217*$E$8</f>
        <v>396518.879009453</v>
      </c>
      <c r="BH220" s="7" t="n">
        <f aca="false">BH215*$E$6+BH216*$E$7+BH217*$E$8</f>
        <v>403659.330098446</v>
      </c>
      <c r="BI220" s="7" t="n">
        <f aca="false">BI215*$E$6+BI216*$E$7+BI217*$E$8</f>
        <v>410479.268768224</v>
      </c>
      <c r="BJ220" s="7" t="n">
        <f aca="false">BJ215*$E$6+BJ216*$E$7+BJ217*$E$8</f>
        <v>416994.012885904</v>
      </c>
      <c r="BK220" s="7" t="n">
        <f aca="false">BK215*$E$6+BK216*$E$7+BK217*$E$8</f>
        <v>423218.099289566</v>
      </c>
    </row>
    <row r="221" customFormat="false" ht="15" hidden="false" customHeight="false" outlineLevel="0" collapsed="false">
      <c r="A221" s="6" t="s">
        <v>197</v>
      </c>
      <c r="D221" s="7" t="n">
        <f aca="false">D220*(1+$E$38)</f>
        <v>271.59132</v>
      </c>
      <c r="E221" s="7" t="n">
        <f aca="false">E220*(1+$E$38)</f>
        <v>567.91735539</v>
      </c>
      <c r="F221" s="7" t="n">
        <f aca="false">F220*(1+$E$38)</f>
        <v>893.13589544025</v>
      </c>
      <c r="G221" s="7" t="n">
        <f aca="false">G220*(1+$E$38)</f>
        <v>1251.94815410367</v>
      </c>
      <c r="H221" s="7" t="n">
        <f aca="false">H220*(1+$E$38)</f>
        <v>1649.67711950707</v>
      </c>
      <c r="I221" s="7" t="n">
        <f aca="false">I220*(1+$E$38)</f>
        <v>2092.35673311362</v>
      </c>
      <c r="J221" s="7" t="n">
        <f aca="false">J220*(1+$E$38)</f>
        <v>2586.83342355266</v>
      </c>
      <c r="K221" s="7" t="n">
        <f aca="false">K220*(1+$E$38)</f>
        <v>3140.88173303621</v>
      </c>
      <c r="L221" s="7" t="n">
        <f aca="false">L220*(1+$E$38)</f>
        <v>3763.33601705217</v>
      </c>
      <c r="M221" s="7" t="n">
        <f aca="false">M220*(1+$E$38)</f>
        <v>4464.24047481844</v>
      </c>
      <c r="N221" s="7" t="n">
        <f aca="false">N220*(1+$E$38)</f>
        <v>5255.02008356102</v>
      </c>
      <c r="O221" s="7" t="n">
        <f aca="false">O220*(1+$E$38)</f>
        <v>6148.67536947012</v>
      </c>
      <c r="P221" s="7" t="n">
        <f aca="false">P220*(1+$E$38)</f>
        <v>7160.00435837887</v>
      </c>
      <c r="Q221" s="7" t="n">
        <f aca="false">Q220*(1+$E$38)</f>
        <v>8305.85551685353</v>
      </c>
      <c r="R221" s="7" t="n">
        <f aca="false">R220*(1+$E$38)</f>
        <v>9605.41602752395</v>
      </c>
      <c r="S221" s="7" t="n">
        <f aca="false">S220*(1+$E$38)</f>
        <v>11080.540350286</v>
      </c>
      <c r="T221" s="7" t="n">
        <f aca="false">T220*(1+$E$38)</f>
        <v>12756.1247139244</v>
      </c>
      <c r="U221" s="7" t="n">
        <f aca="false">U220*(1+$E$38)</f>
        <v>14660.5339726517</v>
      </c>
      <c r="V221" s="7" t="n">
        <f aca="false">V220*(1+$E$38)</f>
        <v>16826.0881626144</v>
      </c>
      <c r="W221" s="7" t="n">
        <f aca="false">W220*(1+$E$38)</f>
        <v>19289.6171200749</v>
      </c>
      <c r="X221" s="7" t="n">
        <f aca="false">X220*(1+$E$38)</f>
        <v>22093.0926933744</v>
      </c>
      <c r="Y221" s="7" t="n">
        <f aca="false">Y220*(1+$E$38)</f>
        <v>25284.3494150599</v>
      </c>
      <c r="Z221" s="7" t="n">
        <f aca="false">Z220*(1+$E$38)</f>
        <v>28917.906021643</v>
      </c>
      <c r="AA221" s="7" t="n">
        <f aca="false">AA220*(1+$E$38)</f>
        <v>33055.9019425089</v>
      </c>
      <c r="AB221" s="7" t="n">
        <f aca="false">AB220*(1+$E$38)</f>
        <v>37769.1648563277</v>
      </c>
      <c r="AC221" s="7" t="n">
        <f aca="false">AC220*(1+$E$38)</f>
        <v>43138.4276669198</v>
      </c>
      <c r="AD221" s="7" t="n">
        <f aca="false">AD220*(1+$E$38)</f>
        <v>49255.7158196398</v>
      </c>
      <c r="AE221" s="7" t="n">
        <f aca="false">AE220*(1+$E$38)</f>
        <v>56225.9288081497</v>
      </c>
      <c r="AF221" s="7" t="n">
        <f aca="false">AF220*(1+$E$38)</f>
        <v>64168.643060289</v>
      </c>
      <c r="AG221" s="7" t="n">
        <f aca="false">AG220*(1+$E$38)</f>
        <v>73220.1671980451</v>
      </c>
      <c r="AH221" s="7" t="n">
        <f aca="false">AH220*(1+$E$38)</f>
        <v>83535.8850058031</v>
      </c>
      <c r="AI221" s="7" t="n">
        <f aca="false">AI220*(1+$E$38)</f>
        <v>95292.9263877282</v>
      </c>
      <c r="AJ221" s="7" t="n">
        <f aca="false">AJ220*(1+$E$38)</f>
        <v>108693.212234345</v>
      </c>
      <c r="AK221" s="7" t="n">
        <f aca="false">AK220*(1+$E$38)</f>
        <v>123966.925547092</v>
      </c>
      <c r="AL221" s="7" t="n">
        <f aca="false">AL220*(1+$E$38)</f>
        <v>141376.468498358</v>
      </c>
      <c r="AM221" s="7" t="n">
        <f aca="false">AM220*(1+$E$38)</f>
        <v>161220.973459289</v>
      </c>
      <c r="AN221" s="7" t="n">
        <f aca="false">AN220*(1+$E$38)</f>
        <v>180627.3786633</v>
      </c>
      <c r="AO221" s="7" t="n">
        <f aca="false">AO220*(1+$E$38)</f>
        <v>199103.497233806</v>
      </c>
      <c r="AP221" s="7" t="n">
        <f aca="false">AP220*(1+$E$38)</f>
        <v>216696.99786179</v>
      </c>
      <c r="AQ221" s="7" t="n">
        <f aca="false">AQ220*(1+$E$38)</f>
        <v>233452.946513574</v>
      </c>
      <c r="AR221" s="7" t="n">
        <f aca="false">AR220*(1+$E$38)</f>
        <v>249413.956764332</v>
      </c>
      <c r="AS221" s="7" t="n">
        <f aca="false">AS220*(1+$E$38)</f>
        <v>264620.331031476</v>
      </c>
      <c r="AT221" s="7" t="n">
        <f aca="false">AT220*(1+$E$38)</f>
        <v>279110.193279699</v>
      </c>
      <c r="AU221" s="7" t="n">
        <f aca="false">AU220*(1+$E$38)</f>
        <v>292919.613732481</v>
      </c>
      <c r="AV221" s="7" t="n">
        <f aca="false">AV220*(1+$E$38)</f>
        <v>306082.726090365</v>
      </c>
      <c r="AW221" s="7" t="n">
        <f aca="false">AW220*(1+$E$38)</f>
        <v>318631.837724005</v>
      </c>
      <c r="AX221" s="7" t="n">
        <f aca="false">AX220*(1+$E$38)</f>
        <v>330597.533279932</v>
      </c>
      <c r="AY221" s="7" t="n">
        <f aca="false">AY220*(1+$E$38)</f>
        <v>342008.772108775</v>
      </c>
      <c r="AZ221" s="7" t="n">
        <f aca="false">AZ220*(1+$E$38)</f>
        <v>352892.979899442</v>
      </c>
      <c r="BA221" s="7" t="n">
        <f aca="false">BA220*(1+$E$38)</f>
        <v>363276.134878151</v>
      </c>
      <c r="BB221" s="7" t="n">
        <f aca="false">BB220*(1+$E$38)</f>
        <v>373182.848908293</v>
      </c>
      <c r="BC221" s="7" t="n">
        <f aca="false">BC220*(1+$E$38)</f>
        <v>382636.443805633</v>
      </c>
      <c r="BD221" s="7" t="n">
        <f aca="false">BD220*(1+$E$38)</f>
        <v>391659.023163311</v>
      </c>
      <c r="BE221" s="7" t="n">
        <f aca="false">BE220*(1+$E$38)</f>
        <v>400271.539962382</v>
      </c>
      <c r="BF221" s="7" t="n">
        <f aca="false">BF220*(1+$E$38)</f>
        <v>408493.860226122</v>
      </c>
      <c r="BG221" s="7" t="n">
        <f aca="false">BG220*(1+$E$38)</f>
        <v>416344.822959926</v>
      </c>
      <c r="BH221" s="7" t="n">
        <f aca="false">BH220*(1+$E$38)</f>
        <v>423842.296603368</v>
      </c>
      <c r="BI221" s="7" t="n">
        <f aca="false">BI220*(1+$E$38)</f>
        <v>431003.232206636</v>
      </c>
      <c r="BJ221" s="7" t="n">
        <f aca="false">BJ220*(1+$E$38)</f>
        <v>437843.713530199</v>
      </c>
      <c r="BK221" s="7" t="n">
        <f aca="false">BK220*(1+$E$38)</f>
        <v>444379.004254044</v>
      </c>
    </row>
    <row r="222" customFormat="false" ht="15" hidden="false" customHeight="false" outlineLevel="0" collapsed="false">
      <c r="A222" s="0" t="s">
        <v>198</v>
      </c>
      <c r="D222" s="7" t="n">
        <f aca="false">D221*12</f>
        <v>3259.09584</v>
      </c>
      <c r="E222" s="7" t="n">
        <f aca="false">E221*12</f>
        <v>6815.00826468</v>
      </c>
      <c r="F222" s="7" t="n">
        <f aca="false">F221*12</f>
        <v>10717.630745283</v>
      </c>
      <c r="G222" s="7" t="n">
        <f aca="false">G221*12</f>
        <v>15023.377849244</v>
      </c>
      <c r="H222" s="7" t="n">
        <f aca="false">H221*12</f>
        <v>19796.1254340848</v>
      </c>
      <c r="I222" s="7" t="n">
        <f aca="false">I221*12</f>
        <v>25108.2807973634</v>
      </c>
      <c r="J222" s="7" t="n">
        <f aca="false">J221*12</f>
        <v>31042.0010826319</v>
      </c>
      <c r="K222" s="7" t="n">
        <f aca="false">K221*12</f>
        <v>37690.5807964345</v>
      </c>
      <c r="L222" s="7" t="n">
        <f aca="false">L221*12</f>
        <v>45160.032204626</v>
      </c>
      <c r="M222" s="7" t="n">
        <f aca="false">M221*12</f>
        <v>53570.8856978212</v>
      </c>
      <c r="N222" s="7" t="n">
        <f aca="false">N221*12</f>
        <v>63060.2410027322</v>
      </c>
      <c r="O222" s="7" t="n">
        <f aca="false">O221*12</f>
        <v>73784.1044336415</v>
      </c>
      <c r="P222" s="7" t="n">
        <f aca="false">P221*12</f>
        <v>85920.0523005465</v>
      </c>
      <c r="Q222" s="7" t="n">
        <f aca="false">Q221*12</f>
        <v>99670.2662022423</v>
      </c>
      <c r="R222" s="7" t="n">
        <f aca="false">R221*12</f>
        <v>115264.992330287</v>
      </c>
      <c r="S222" s="7" t="n">
        <f aca="false">S221*12</f>
        <v>132966.484203432</v>
      </c>
      <c r="T222" s="7" t="n">
        <f aca="false">T221*12</f>
        <v>153073.496567093</v>
      </c>
      <c r="U222" s="7" t="n">
        <f aca="false">U221*12</f>
        <v>175926.40767182</v>
      </c>
      <c r="V222" s="7" t="n">
        <f aca="false">V221*12</f>
        <v>201913.057951373</v>
      </c>
      <c r="W222" s="7" t="n">
        <f aca="false">W221*12</f>
        <v>231475.405440899</v>
      </c>
      <c r="X222" s="7" t="n">
        <f aca="false">X221*12</f>
        <v>265117.112320492</v>
      </c>
      <c r="Y222" s="7" t="n">
        <f aca="false">Y221*12</f>
        <v>303412.192980719</v>
      </c>
      <c r="Z222" s="7" t="n">
        <f aca="false">Z221*12</f>
        <v>347014.872259716</v>
      </c>
      <c r="AA222" s="7" t="n">
        <f aca="false">AA221*12</f>
        <v>396670.823310107</v>
      </c>
      <c r="AB222" s="7" t="n">
        <f aca="false">AB221*12</f>
        <v>453229.978275933</v>
      </c>
      <c r="AC222" s="7" t="n">
        <f aca="false">AC221*12</f>
        <v>517661.132003037</v>
      </c>
      <c r="AD222" s="7" t="n">
        <f aca="false">AD221*12</f>
        <v>591068.589835678</v>
      </c>
      <c r="AE222" s="7" t="n">
        <f aca="false">AE221*12</f>
        <v>674711.145697796</v>
      </c>
      <c r="AF222" s="7" t="n">
        <f aca="false">AF221*12</f>
        <v>770023.716723468</v>
      </c>
      <c r="AG222" s="7" t="n">
        <f aca="false">AG221*12</f>
        <v>878642.006376541</v>
      </c>
      <c r="AH222" s="7" t="n">
        <f aca="false">AH221*12</f>
        <v>1002430.62006964</v>
      </c>
      <c r="AI222" s="7" t="n">
        <f aca="false">AI221*12</f>
        <v>1143515.11665274</v>
      </c>
      <c r="AJ222" s="7" t="n">
        <f aca="false">AJ221*12</f>
        <v>1304318.54681214</v>
      </c>
      <c r="AK222" s="7" t="n">
        <f aca="false">AK221*12</f>
        <v>1487603.1065651</v>
      </c>
      <c r="AL222" s="7" t="n">
        <f aca="false">AL221*12</f>
        <v>1696517.6219803</v>
      </c>
      <c r="AM222" s="7" t="n">
        <f aca="false">AM221*12</f>
        <v>1934651.68151147</v>
      </c>
      <c r="AN222" s="7" t="n">
        <f aca="false">AN221*12</f>
        <v>2167528.54395961</v>
      </c>
      <c r="AO222" s="7" t="n">
        <f aca="false">AO221*12</f>
        <v>2389241.96680567</v>
      </c>
      <c r="AP222" s="7" t="n">
        <f aca="false">AP221*12</f>
        <v>2600363.97434148</v>
      </c>
      <c r="AQ222" s="7" t="n">
        <f aca="false">AQ221*12</f>
        <v>2801435.35816288</v>
      </c>
      <c r="AR222" s="7" t="n">
        <f aca="false">AR221*12</f>
        <v>2992967.48117198</v>
      </c>
      <c r="AS222" s="7" t="n">
        <f aca="false">AS221*12</f>
        <v>3175443.97237772</v>
      </c>
      <c r="AT222" s="7" t="n">
        <f aca="false">AT221*12</f>
        <v>3349322.31935639</v>
      </c>
      <c r="AU222" s="7" t="n">
        <f aca="false">AU221*12</f>
        <v>3515035.36478978</v>
      </c>
      <c r="AV222" s="7" t="n">
        <f aca="false">AV221*12</f>
        <v>3672992.71308438</v>
      </c>
      <c r="AW222" s="7" t="n">
        <f aca="false">AW221*12</f>
        <v>3823582.05268806</v>
      </c>
      <c r="AX222" s="7" t="n">
        <f aca="false">AX221*12</f>
        <v>3967170.39935918</v>
      </c>
      <c r="AY222" s="7" t="n">
        <f aca="false">AY221*12</f>
        <v>4104105.2653053</v>
      </c>
      <c r="AZ222" s="7" t="n">
        <f aca="false">AZ221*12</f>
        <v>4234715.75879331</v>
      </c>
      <c r="BA222" s="7" t="n">
        <f aca="false">BA221*12</f>
        <v>4359313.61853781</v>
      </c>
      <c r="BB222" s="7" t="n">
        <f aca="false">BB221*12</f>
        <v>4478194.18689952</v>
      </c>
      <c r="BC222" s="7" t="n">
        <f aca="false">BC221*12</f>
        <v>4591637.3256676</v>
      </c>
      <c r="BD222" s="7" t="n">
        <f aca="false">BD221*12</f>
        <v>4699908.27795973</v>
      </c>
      <c r="BE222" s="7" t="n">
        <f aca="false">BE221*12</f>
        <v>4803258.47954859</v>
      </c>
      <c r="BF222" s="7" t="n">
        <f aca="false">BF221*12</f>
        <v>4901926.32271347</v>
      </c>
      <c r="BG222" s="7" t="n">
        <f aca="false">BG221*12</f>
        <v>4996137.87551911</v>
      </c>
      <c r="BH222" s="7" t="n">
        <f aca="false">BH221*12</f>
        <v>5086107.55924041</v>
      </c>
      <c r="BI222" s="7" t="n">
        <f aca="false">BI221*12</f>
        <v>5172038.78647963</v>
      </c>
      <c r="BJ222" s="7" t="n">
        <f aca="false">BJ221*12</f>
        <v>5254124.56236239</v>
      </c>
      <c r="BK222" s="7" t="n">
        <f aca="false">BK221*12</f>
        <v>5332548.05104853</v>
      </c>
    </row>
    <row r="223" customFormat="false" ht="15" hidden="false" customHeight="false" outlineLevel="0" collapsed="false">
      <c r="A223" s="0" t="s">
        <v>199</v>
      </c>
      <c r="D223" s="7" t="n">
        <f aca="false">(D212*$E$6+D213*$E$7+D214*$E$8)*$E$16*$E$17</f>
        <v>2.586584</v>
      </c>
      <c r="E223" s="7" t="n">
        <f aca="false">(E212*$E$6+E213*$E$7+E214*$E$8)*$E$16*$E$17</f>
        <v>2.94870576</v>
      </c>
      <c r="F223" s="7" t="n">
        <f aca="false">(F212*$E$6+F213*$E$7+F214*$E$8)*$E$16*$E$17</f>
        <v>3.3615245664</v>
      </c>
      <c r="G223" s="7" t="n">
        <f aca="false">(G212*$E$6+G213*$E$7+G214*$E$8)*$E$16*$E$17</f>
        <v>3.832138005696</v>
      </c>
      <c r="H223" s="7" t="n">
        <f aca="false">(H212*$E$6+H213*$E$7+H214*$E$8)*$E$16*$E$17</f>
        <v>4.36863732649344</v>
      </c>
      <c r="I223" s="7" t="n">
        <f aca="false">(I212*$E$6+I213*$E$7+I214*$E$8)*$E$16*$E$17</f>
        <v>4.98024655220253</v>
      </c>
      <c r="J223" s="7" t="n">
        <f aca="false">(J212*$E$6+J213*$E$7+J214*$E$8)*$E$16*$E$17</f>
        <v>5.67748106951088</v>
      </c>
      <c r="K223" s="7" t="n">
        <f aca="false">(K212*$E$6+K213*$E$7+K214*$E$8)*$E$16*$E$17</f>
        <v>6.4723284192424</v>
      </c>
      <c r="L223" s="7" t="n">
        <f aca="false">(L212*$E$6+L213*$E$7+L214*$E$8)*$E$16*$E$17</f>
        <v>7.37845439793634</v>
      </c>
      <c r="M223" s="7" t="n">
        <f aca="false">(M212*$E$6+M213*$E$7+M214*$E$8)*$E$16*$E$17</f>
        <v>8.41143801364743</v>
      </c>
      <c r="N223" s="7" t="n">
        <f aca="false">(N212*$E$6+N213*$E$7+N214*$E$8)*$E$16*$E$17</f>
        <v>9.58903933555807</v>
      </c>
      <c r="O223" s="7" t="n">
        <f aca="false">(O212*$E$6+O213*$E$7+O214*$E$8)*$E$16*$E$17</f>
        <v>10.9315048425362</v>
      </c>
      <c r="P223" s="7" t="n">
        <f aca="false">(P212*$E$6+P213*$E$7+P214*$E$8)*$E$16*$E$17</f>
        <v>12.4619155204913</v>
      </c>
      <c r="Q223" s="7" t="n">
        <f aca="false">(Q212*$E$6+Q213*$E$7+Q214*$E$8)*$E$16*$E$17</f>
        <v>14.2065836933601</v>
      </c>
      <c r="R223" s="7" t="n">
        <f aca="false">(R212*$E$6+R213*$E$7+R214*$E$8)*$E$16*$E$17</f>
        <v>16.1955054104305</v>
      </c>
      <c r="S223" s="7" t="n">
        <f aca="false">(S212*$E$6+S213*$E$7+S214*$E$8)*$E$16*$E$17</f>
        <v>18.4628761678907</v>
      </c>
      <c r="T223" s="7" t="n">
        <f aca="false">(T212*$E$6+T213*$E$7+T214*$E$8)*$E$16*$E$17</f>
        <v>21.0476788313954</v>
      </c>
      <c r="U223" s="7" t="n">
        <f aca="false">(U212*$E$6+U213*$E$7+U214*$E$8)*$E$16*$E$17</f>
        <v>23.9943538677908</v>
      </c>
      <c r="V223" s="7" t="n">
        <f aca="false">(V212*$E$6+V213*$E$7+V214*$E$8)*$E$16*$E$17</f>
        <v>27.3535634092815</v>
      </c>
      <c r="W223" s="7" t="n">
        <f aca="false">(W212*$E$6+W213*$E$7+W214*$E$8)*$E$16*$E$17</f>
        <v>31.1830622865809</v>
      </c>
      <c r="X223" s="7" t="n">
        <f aca="false">(X212*$E$6+X213*$E$7+X214*$E$8)*$E$16*$E$17</f>
        <v>35.5486910067023</v>
      </c>
      <c r="Y223" s="7" t="n">
        <f aca="false">(Y212*$E$6+Y213*$E$7+Y214*$E$8)*$E$16*$E$17</f>
        <v>40.5255077476406</v>
      </c>
      <c r="Z223" s="7" t="n">
        <f aca="false">(Z212*$E$6+Z213*$E$7+Z214*$E$8)*$E$16*$E$17</f>
        <v>46.1990788323103</v>
      </c>
      <c r="AA223" s="7" t="n">
        <f aca="false">(AA212*$E$6+AA213*$E$7+AA214*$E$8)*$E$16*$E$17</f>
        <v>52.6669498688337</v>
      </c>
      <c r="AB223" s="7" t="n">
        <f aca="false">(AB212*$E$6+AB213*$E$7+AB214*$E$8)*$E$16*$E$17</f>
        <v>60.0403228504704</v>
      </c>
      <c r="AC223" s="7" t="n">
        <f aca="false">(AC212*$E$6+AC213*$E$7+AC214*$E$8)*$E$16*$E$17</f>
        <v>68.4459680495363</v>
      </c>
      <c r="AD223" s="7" t="n">
        <f aca="false">(AD212*$E$6+AD213*$E$7+AD214*$E$8)*$E$16*$E$17</f>
        <v>78.0284035764714</v>
      </c>
      <c r="AE223" s="7" t="n">
        <f aca="false">(AE212*$E$6+AE213*$E$7+AE214*$E$8)*$E$16*$E$17</f>
        <v>88.9523800771774</v>
      </c>
      <c r="AF223" s="7" t="n">
        <f aca="false">(AF212*$E$6+AF213*$E$7+AF214*$E$8)*$E$16*$E$17</f>
        <v>101.405713287982</v>
      </c>
      <c r="AG223" s="7" t="n">
        <f aca="false">(AG212*$E$6+AG213*$E$7+AG214*$E$8)*$E$16*$E$17</f>
        <v>115.6025131483</v>
      </c>
      <c r="AH223" s="7" t="n">
        <f aca="false">(AH212*$E$6+AH213*$E$7+AH214*$E$8)*$E$16*$E$17</f>
        <v>131.786864989062</v>
      </c>
      <c r="AI223" s="7" t="n">
        <f aca="false">(AI212*$E$6+AI213*$E$7+AI214*$E$8)*$E$16*$E$17</f>
        <v>150.23702608753</v>
      </c>
      <c r="AJ223" s="7" t="n">
        <f aca="false">(AJ212*$E$6+AJ213*$E$7+AJ214*$E$8)*$E$16*$E$17</f>
        <v>171.270209739785</v>
      </c>
      <c r="AK223" s="7" t="n">
        <f aca="false">(AK212*$E$6+AK213*$E$7+AK214*$E$8)*$E$16*$E$17</f>
        <v>195.248039103355</v>
      </c>
      <c r="AL223" s="7" t="n">
        <f aca="false">(AL212*$E$6+AL213*$E$7+AL214*$E$8)*$E$16*$E$17</f>
        <v>222.582764577824</v>
      </c>
      <c r="AM223" s="7" t="n">
        <f aca="false">(AM212*$E$6+AM213*$E$7+AM214*$E$8)*$E$16*$E$17</f>
        <v>253.74435161872</v>
      </c>
      <c r="AN223" s="7" t="n">
        <f aca="false">(AN212*$E$6+AN213*$E$7+AN214*$E$8)*$E$16*$E$17</f>
        <v>258.6584</v>
      </c>
      <c r="AO223" s="7" t="n">
        <f aca="false">(AO212*$E$6+AO213*$E$7+AO214*$E$8)*$E$16*$E$17</f>
        <v>258.6584</v>
      </c>
      <c r="AP223" s="7" t="n">
        <f aca="false">(AP212*$E$6+AP213*$E$7+AP214*$E$8)*$E$16*$E$17</f>
        <v>258.6584</v>
      </c>
      <c r="AQ223" s="7" t="n">
        <f aca="false">(AQ212*$E$6+AQ213*$E$7+AQ214*$E$8)*$E$16*$E$17</f>
        <v>258.6584</v>
      </c>
      <c r="AR223" s="7" t="n">
        <f aca="false">(AR212*$E$6+AR213*$E$7+AR214*$E$8)*$E$16*$E$17</f>
        <v>258.6584</v>
      </c>
      <c r="AS223" s="7" t="n">
        <f aca="false">(AS212*$E$6+AS213*$E$7+AS214*$E$8)*$E$16*$E$17</f>
        <v>258.6584</v>
      </c>
      <c r="AT223" s="7" t="n">
        <f aca="false">(AT212*$E$6+AT213*$E$7+AT214*$E$8)*$E$16*$E$17</f>
        <v>258.6584</v>
      </c>
      <c r="AU223" s="7" t="n">
        <f aca="false">(AU212*$E$6+AU213*$E$7+AU214*$E$8)*$E$16*$E$17</f>
        <v>258.6584</v>
      </c>
      <c r="AV223" s="7" t="n">
        <f aca="false">(AV212*$E$6+AV213*$E$7+AV214*$E$8)*$E$16*$E$17</f>
        <v>258.6584</v>
      </c>
      <c r="AW223" s="7" t="n">
        <f aca="false">(AW212*$E$6+AW213*$E$7+AW214*$E$8)*$E$16*$E$17</f>
        <v>258.6584</v>
      </c>
      <c r="AX223" s="7" t="n">
        <f aca="false">(AX212*$E$6+AX213*$E$7+AX214*$E$8)*$E$16*$E$17</f>
        <v>258.6584</v>
      </c>
      <c r="AY223" s="7" t="n">
        <f aca="false">(AY212*$E$6+AY213*$E$7+AY214*$E$8)*$E$16*$E$17</f>
        <v>258.6584</v>
      </c>
      <c r="AZ223" s="7" t="n">
        <f aca="false">(AZ212*$E$6+AZ213*$E$7+AZ214*$E$8)*$E$16*$E$17</f>
        <v>258.6584</v>
      </c>
      <c r="BA223" s="7" t="n">
        <f aca="false">(BA212*$E$6+BA213*$E$7+BA214*$E$8)*$E$16*$E$17</f>
        <v>258.6584</v>
      </c>
      <c r="BB223" s="7" t="n">
        <f aca="false">(BB212*$E$6+BB213*$E$7+BB214*$E$8)*$E$16*$E$17</f>
        <v>258.6584</v>
      </c>
      <c r="BC223" s="7" t="n">
        <f aca="false">(BC212*$E$6+BC213*$E$7+BC214*$E$8)*$E$16*$E$17</f>
        <v>258.6584</v>
      </c>
      <c r="BD223" s="7" t="n">
        <f aca="false">(BD212*$E$6+BD213*$E$7+BD214*$E$8)*$E$16*$E$17</f>
        <v>258.6584</v>
      </c>
      <c r="BE223" s="7" t="n">
        <f aca="false">(BE212*$E$6+BE213*$E$7+BE214*$E$8)*$E$16*$E$17</f>
        <v>258.6584</v>
      </c>
      <c r="BF223" s="7" t="n">
        <f aca="false">(BF212*$E$6+BF213*$E$7+BF214*$E$8)*$E$16*$E$17</f>
        <v>258.6584</v>
      </c>
      <c r="BG223" s="7" t="n">
        <f aca="false">(BG212*$E$6+BG213*$E$7+BG214*$E$8)*$E$16*$E$17</f>
        <v>258.6584</v>
      </c>
      <c r="BH223" s="7" t="n">
        <f aca="false">(BH212*$E$6+BH213*$E$7+BH214*$E$8)*$E$16*$E$17</f>
        <v>258.6584</v>
      </c>
      <c r="BI223" s="7" t="n">
        <f aca="false">(BI212*$E$6+BI213*$E$7+BI214*$E$8)*$E$16*$E$17</f>
        <v>258.6584</v>
      </c>
      <c r="BJ223" s="7" t="n">
        <f aca="false">(BJ212*$E$6+BJ213*$E$7+BJ214*$E$8)*$E$16*$E$17</f>
        <v>258.6584</v>
      </c>
      <c r="BK223" s="7" t="n">
        <f aca="false">(BK212*$E$6+BK213*$E$7+BK214*$E$8)*$E$16*$E$17</f>
        <v>258.6584</v>
      </c>
    </row>
    <row r="224" customFormat="false" ht="15" hidden="false" customHeight="false" outlineLevel="0" collapsed="false">
      <c r="A224" s="0" t="s">
        <v>200</v>
      </c>
      <c r="D224" s="7" t="n">
        <f aca="false">D221-D223</f>
        <v>269.004736</v>
      </c>
      <c r="E224" s="7" t="n">
        <f aca="false">E221-E223</f>
        <v>564.96864963</v>
      </c>
      <c r="F224" s="7" t="n">
        <f aca="false">F221-F223</f>
        <v>889.77437087385</v>
      </c>
      <c r="G224" s="7" t="n">
        <f aca="false">G221-G223</f>
        <v>1248.11601609797</v>
      </c>
      <c r="H224" s="7" t="n">
        <f aca="false">H221-H223</f>
        <v>1645.30848218058</v>
      </c>
      <c r="I224" s="7" t="n">
        <f aca="false">I221-I223</f>
        <v>2087.37648656142</v>
      </c>
      <c r="J224" s="7" t="n">
        <f aca="false">J221-J223</f>
        <v>2581.15594248315</v>
      </c>
      <c r="K224" s="7" t="n">
        <f aca="false">K221-K223</f>
        <v>3134.40940461697</v>
      </c>
      <c r="L224" s="7" t="n">
        <f aca="false">L221-L223</f>
        <v>3755.95756265423</v>
      </c>
      <c r="M224" s="7" t="n">
        <f aca="false">M221-M223</f>
        <v>4455.82903680479</v>
      </c>
      <c r="N224" s="7" t="n">
        <f aca="false">N221-N223</f>
        <v>5245.43104422546</v>
      </c>
      <c r="O224" s="7" t="n">
        <f aca="false">O221-O223</f>
        <v>6137.74386462758</v>
      </c>
      <c r="P224" s="7" t="n">
        <f aca="false">P221-P223</f>
        <v>7147.54244285838</v>
      </c>
      <c r="Q224" s="7" t="n">
        <f aca="false">Q221-Q223</f>
        <v>8291.64893316017</v>
      </c>
      <c r="R224" s="7" t="n">
        <f aca="false">R221-R223</f>
        <v>9589.22052211352</v>
      </c>
      <c r="S224" s="7" t="n">
        <f aca="false">S221-S223</f>
        <v>11062.0774741181</v>
      </c>
      <c r="T224" s="7" t="n">
        <f aca="false">T221-T223</f>
        <v>12735.077035093</v>
      </c>
      <c r="U224" s="7" t="n">
        <f aca="false">U221-U223</f>
        <v>14636.5396187839</v>
      </c>
      <c r="V224" s="7" t="n">
        <f aca="false">V221-V223</f>
        <v>16798.7345992051</v>
      </c>
      <c r="W224" s="7" t="n">
        <f aca="false">W221-W223</f>
        <v>19258.4340577883</v>
      </c>
      <c r="X224" s="7" t="n">
        <f aca="false">X221-X223</f>
        <v>22057.5440023677</v>
      </c>
      <c r="Y224" s="7" t="n">
        <f aca="false">Y221-Y223</f>
        <v>25243.8239073122</v>
      </c>
      <c r="Z224" s="7" t="n">
        <f aca="false">Z221-Z223</f>
        <v>28871.7069428107</v>
      </c>
      <c r="AA224" s="7" t="n">
        <f aca="false">AA221-AA223</f>
        <v>33003.2349926401</v>
      </c>
      <c r="AB224" s="7" t="n">
        <f aca="false">AB221-AB223</f>
        <v>37709.1245334773</v>
      </c>
      <c r="AC224" s="7" t="n">
        <f aca="false">AC221-AC223</f>
        <v>43069.9816988702</v>
      </c>
      <c r="AD224" s="7" t="n">
        <f aca="false">AD221-AD223</f>
        <v>49177.6874160633</v>
      </c>
      <c r="AE224" s="7" t="n">
        <f aca="false">AE221-AE223</f>
        <v>56136.9764280725</v>
      </c>
      <c r="AF224" s="7" t="n">
        <f aca="false">AF221-AF223</f>
        <v>64067.237347001</v>
      </c>
      <c r="AG224" s="7" t="n">
        <f aca="false">AG221-AG223</f>
        <v>73104.5646848968</v>
      </c>
      <c r="AH224" s="7" t="n">
        <f aca="false">AH221-AH223</f>
        <v>83404.0981408141</v>
      </c>
      <c r="AI224" s="7" t="n">
        <f aca="false">AI221-AI223</f>
        <v>95142.6893616407</v>
      </c>
      <c r="AJ224" s="7" t="n">
        <f aca="false">AJ221-AJ223</f>
        <v>108521.942024605</v>
      </c>
      <c r="AK224" s="7" t="n">
        <f aca="false">AK221-AK223</f>
        <v>123771.677507988</v>
      </c>
      <c r="AL224" s="7" t="n">
        <f aca="false">AL221-AL223</f>
        <v>141153.88573378</v>
      </c>
      <c r="AM224" s="7" t="n">
        <f aca="false">AM221-AM223</f>
        <v>160967.229107671</v>
      </c>
      <c r="AN224" s="7" t="n">
        <f aca="false">AN221-AN223</f>
        <v>180368.7202633</v>
      </c>
      <c r="AO224" s="7" t="n">
        <f aca="false">AO221-AO223</f>
        <v>198844.838833806</v>
      </c>
      <c r="AP224" s="7" t="n">
        <f aca="false">AP221-AP223</f>
        <v>216438.33946179</v>
      </c>
      <c r="AQ224" s="7" t="n">
        <f aca="false">AQ221-AQ223</f>
        <v>233194.288113574</v>
      </c>
      <c r="AR224" s="7" t="n">
        <f aca="false">AR221-AR223</f>
        <v>249155.298364332</v>
      </c>
      <c r="AS224" s="7" t="n">
        <f aca="false">AS221-AS223</f>
        <v>264361.672631476</v>
      </c>
      <c r="AT224" s="7" t="n">
        <f aca="false">AT221-AT223</f>
        <v>278851.534879699</v>
      </c>
      <c r="AU224" s="7" t="n">
        <f aca="false">AU221-AU223</f>
        <v>292660.955332481</v>
      </c>
      <c r="AV224" s="7" t="n">
        <f aca="false">AV221-AV223</f>
        <v>305824.067690365</v>
      </c>
      <c r="AW224" s="7" t="n">
        <f aca="false">AW221-AW223</f>
        <v>318373.179324005</v>
      </c>
      <c r="AX224" s="7" t="n">
        <f aca="false">AX221-AX223</f>
        <v>330338.874879932</v>
      </c>
      <c r="AY224" s="7" t="n">
        <f aca="false">AY221-AY223</f>
        <v>341750.113708775</v>
      </c>
      <c r="AZ224" s="7" t="n">
        <f aca="false">AZ221-AZ223</f>
        <v>352634.321499442</v>
      </c>
      <c r="BA224" s="7" t="n">
        <f aca="false">BA221-BA223</f>
        <v>363017.476478151</v>
      </c>
      <c r="BB224" s="7" t="n">
        <f aca="false">BB221-BB223</f>
        <v>372924.190508293</v>
      </c>
      <c r="BC224" s="7" t="n">
        <f aca="false">BC221-BC223</f>
        <v>382377.785405633</v>
      </c>
      <c r="BD224" s="7" t="n">
        <f aca="false">BD221-BD223</f>
        <v>391400.364763311</v>
      </c>
      <c r="BE224" s="7" t="n">
        <f aca="false">BE221-BE223</f>
        <v>400012.881562382</v>
      </c>
      <c r="BF224" s="7" t="n">
        <f aca="false">BF221-BF223</f>
        <v>408235.201826122</v>
      </c>
      <c r="BG224" s="7" t="n">
        <f aca="false">BG221-BG223</f>
        <v>416086.164559926</v>
      </c>
      <c r="BH224" s="7" t="n">
        <f aca="false">BH221-BH223</f>
        <v>423583.638203368</v>
      </c>
      <c r="BI224" s="7" t="n">
        <f aca="false">BI221-BI223</f>
        <v>430744.573806636</v>
      </c>
      <c r="BJ224" s="7" t="n">
        <f aca="false">BJ221-BJ223</f>
        <v>437585.055130199</v>
      </c>
      <c r="BK224" s="7" t="n">
        <f aca="false">BK221-BK223</f>
        <v>444120.345854044</v>
      </c>
    </row>
    <row r="225" customFormat="false" ht="15" hidden="false" customHeight="false" outlineLevel="0" collapsed="false">
      <c r="A225" s="0" t="s">
        <v>201</v>
      </c>
      <c r="D225" s="7" t="n">
        <f aca="false">D224*$E$15</f>
        <v>5.38009472</v>
      </c>
      <c r="E225" s="7" t="n">
        <f aca="false">E224*$E$15</f>
        <v>11.2993729926</v>
      </c>
      <c r="F225" s="7" t="n">
        <f aca="false">F224*$E$15</f>
        <v>17.795487417477</v>
      </c>
      <c r="G225" s="7" t="n">
        <f aca="false">G224*$E$15</f>
        <v>24.9623203219594</v>
      </c>
      <c r="H225" s="7" t="n">
        <f aca="false">H224*$E$15</f>
        <v>32.9061696436115</v>
      </c>
      <c r="I225" s="7" t="n">
        <f aca="false">I224*$E$15</f>
        <v>41.7475297312284</v>
      </c>
      <c r="J225" s="7" t="n">
        <f aca="false">J224*$E$15</f>
        <v>51.6231188496629</v>
      </c>
      <c r="K225" s="7" t="n">
        <f aca="false">K224*$E$15</f>
        <v>62.6881880923393</v>
      </c>
      <c r="L225" s="7" t="n">
        <f aca="false">L224*$E$15</f>
        <v>75.1191512530847</v>
      </c>
      <c r="M225" s="7" t="n">
        <f aca="false">M224*$E$15</f>
        <v>89.1165807360958</v>
      </c>
      <c r="N225" s="7" t="n">
        <f aca="false">N224*$E$15</f>
        <v>104.908620884509</v>
      </c>
      <c r="O225" s="7" t="n">
        <f aca="false">O224*$E$15</f>
        <v>122.754877292552</v>
      </c>
      <c r="P225" s="7" t="n">
        <f aca="false">P224*$E$15</f>
        <v>142.950848857168</v>
      </c>
      <c r="Q225" s="7" t="n">
        <f aca="false">Q224*$E$15</f>
        <v>165.832978663203</v>
      </c>
      <c r="R225" s="7" t="n">
        <f aca="false">R224*$E$15</f>
        <v>191.78441044227</v>
      </c>
      <c r="S225" s="7" t="n">
        <f aca="false">S224*$E$15</f>
        <v>221.241549482362</v>
      </c>
      <c r="T225" s="7" t="n">
        <f aca="false">T224*$E$15</f>
        <v>254.70154070186</v>
      </c>
      <c r="U225" s="7" t="n">
        <f aca="false">U224*$E$15</f>
        <v>292.730792375677</v>
      </c>
      <c r="V225" s="7" t="n">
        <f aca="false">V224*$E$15</f>
        <v>335.974691984103</v>
      </c>
      <c r="W225" s="7" t="n">
        <f aca="false">W224*$E$15</f>
        <v>385.168681155767</v>
      </c>
      <c r="X225" s="7" t="n">
        <f aca="false">X224*$E$15</f>
        <v>441.150880047353</v>
      </c>
      <c r="Y225" s="7" t="n">
        <f aca="false">Y224*$E$15</f>
        <v>504.876478146245</v>
      </c>
      <c r="Z225" s="7" t="n">
        <f aca="false">Z224*$E$15</f>
        <v>577.434138856214</v>
      </c>
      <c r="AA225" s="7" t="n">
        <f aca="false">AA224*$E$15</f>
        <v>660.064699852801</v>
      </c>
      <c r="AB225" s="7" t="n">
        <f aca="false">AB224*$E$15</f>
        <v>754.182490669545</v>
      </c>
      <c r="AC225" s="7" t="n">
        <f aca="false">AC224*$E$15</f>
        <v>861.399633977405</v>
      </c>
      <c r="AD225" s="7" t="n">
        <f aca="false">AD224*$E$15</f>
        <v>983.553748321267</v>
      </c>
      <c r="AE225" s="7" t="n">
        <f aca="false">AE224*$E$15</f>
        <v>1122.73952856145</v>
      </c>
      <c r="AF225" s="7" t="n">
        <f aca="false">AF224*$E$15</f>
        <v>1281.34474694002</v>
      </c>
      <c r="AG225" s="7" t="n">
        <f aca="false">AG224*$E$15</f>
        <v>1462.09129369794</v>
      </c>
      <c r="AH225" s="7" t="n">
        <f aca="false">AH224*$E$15</f>
        <v>1668.08196281628</v>
      </c>
      <c r="AI225" s="7" t="n">
        <f aca="false">AI224*$E$15</f>
        <v>1902.85378723281</v>
      </c>
      <c r="AJ225" s="7" t="n">
        <f aca="false">AJ224*$E$15</f>
        <v>2170.43884049211</v>
      </c>
      <c r="AK225" s="7" t="n">
        <f aca="false">AK224*$E$15</f>
        <v>2475.43355015977</v>
      </c>
      <c r="AL225" s="7" t="n">
        <f aca="false">AL224*$E$15</f>
        <v>2823.07771467561</v>
      </c>
      <c r="AM225" s="7" t="n">
        <f aca="false">AM224*$E$15</f>
        <v>3219.34458215341</v>
      </c>
      <c r="AN225" s="7" t="n">
        <f aca="false">AN224*$E$15</f>
        <v>3607.37440526601</v>
      </c>
      <c r="AO225" s="7" t="n">
        <f aca="false">AO224*$E$15</f>
        <v>3976.89677667612</v>
      </c>
      <c r="AP225" s="7" t="n">
        <f aca="false">AP224*$E$15</f>
        <v>4328.7667892358</v>
      </c>
      <c r="AQ225" s="7" t="n">
        <f aca="false">AQ224*$E$15</f>
        <v>4663.88576227147</v>
      </c>
      <c r="AR225" s="7" t="n">
        <f aca="false">AR224*$E$15</f>
        <v>4983.10596728664</v>
      </c>
      <c r="AS225" s="7" t="n">
        <f aca="false">AS224*$E$15</f>
        <v>5287.23345262953</v>
      </c>
      <c r="AT225" s="7" t="n">
        <f aca="false">AT224*$E$15</f>
        <v>5577.03069759398</v>
      </c>
      <c r="AU225" s="7" t="n">
        <f aca="false">AU224*$E$15</f>
        <v>5853.21910664963</v>
      </c>
      <c r="AV225" s="7" t="n">
        <f aca="false">AV224*$E$15</f>
        <v>6116.48135380729</v>
      </c>
      <c r="AW225" s="7" t="n">
        <f aca="false">AW224*$E$15</f>
        <v>6367.46358648009</v>
      </c>
      <c r="AX225" s="7" t="n">
        <f aca="false">AX224*$E$15</f>
        <v>6606.77749759863</v>
      </c>
      <c r="AY225" s="7" t="n">
        <f aca="false">AY224*$E$15</f>
        <v>6835.00227417551</v>
      </c>
      <c r="AZ225" s="7" t="n">
        <f aca="false">AZ224*$E$15</f>
        <v>7052.68642998884</v>
      </c>
      <c r="BA225" s="7" t="n">
        <f aca="false">BA224*$E$15</f>
        <v>7260.34952956302</v>
      </c>
      <c r="BB225" s="7" t="n">
        <f aca="false">BB224*$E$15</f>
        <v>7458.48381016586</v>
      </c>
      <c r="BC225" s="7" t="n">
        <f aca="false">BC224*$E$15</f>
        <v>7647.55570811266</v>
      </c>
      <c r="BD225" s="7" t="n">
        <f aca="false">BD224*$E$15</f>
        <v>7828.00729526621</v>
      </c>
      <c r="BE225" s="7" t="n">
        <f aca="false">BE224*$E$15</f>
        <v>8000.25763124765</v>
      </c>
      <c r="BF225" s="7" t="n">
        <f aca="false">BF224*$E$15</f>
        <v>8164.70403652245</v>
      </c>
      <c r="BG225" s="7" t="n">
        <f aca="false">BG224*$E$15</f>
        <v>8321.72329119852</v>
      </c>
      <c r="BH225" s="7" t="n">
        <f aca="false">BH224*$E$15</f>
        <v>8471.67276406736</v>
      </c>
      <c r="BI225" s="7" t="n">
        <f aca="false">BI224*$E$15</f>
        <v>8614.89147613271</v>
      </c>
      <c r="BJ225" s="7" t="n">
        <f aca="false">BJ224*$E$15</f>
        <v>8751.70110260399</v>
      </c>
      <c r="BK225" s="7" t="n">
        <f aca="false">BK224*$E$15</f>
        <v>8882.40691708088</v>
      </c>
    </row>
    <row r="226" customFormat="false" ht="15" hidden="false" customHeight="false" outlineLevel="0" collapsed="false">
      <c r="A226" s="6" t="s">
        <v>43</v>
      </c>
      <c r="D226" s="7" t="n">
        <f aca="false">D224-D225</f>
        <v>263.62464128</v>
      </c>
      <c r="E226" s="7" t="n">
        <f aca="false">E224-E225</f>
        <v>553.6692766374</v>
      </c>
      <c r="F226" s="7" t="n">
        <f aca="false">F224-F225</f>
        <v>871.978883456373</v>
      </c>
      <c r="G226" s="7" t="n">
        <f aca="false">G224-G225</f>
        <v>1223.15369577601</v>
      </c>
      <c r="H226" s="7" t="n">
        <f aca="false">H224-H225</f>
        <v>1612.40231253696</v>
      </c>
      <c r="I226" s="7" t="n">
        <f aca="false">I224-I225</f>
        <v>2045.62895683019</v>
      </c>
      <c r="J226" s="7" t="n">
        <f aca="false">J224-J225</f>
        <v>2529.53282363348</v>
      </c>
      <c r="K226" s="7" t="n">
        <f aca="false">K224-K225</f>
        <v>3071.72121652463</v>
      </c>
      <c r="L226" s="7" t="n">
        <f aca="false">L224-L225</f>
        <v>3680.83841140115</v>
      </c>
      <c r="M226" s="7" t="n">
        <f aca="false">M224-M225</f>
        <v>4366.71245606869</v>
      </c>
      <c r="N226" s="7" t="n">
        <f aca="false">N224-N225</f>
        <v>5140.52242334095</v>
      </c>
      <c r="O226" s="7" t="n">
        <f aca="false">O224-O225</f>
        <v>6014.98898733503</v>
      </c>
      <c r="P226" s="7" t="n">
        <f aca="false">P224-P225</f>
        <v>7004.59159400122</v>
      </c>
      <c r="Q226" s="7" t="n">
        <f aca="false">Q224-Q225</f>
        <v>8125.81595449696</v>
      </c>
      <c r="R226" s="7" t="n">
        <f aca="false">R224-R225</f>
        <v>9397.43611167124</v>
      </c>
      <c r="S226" s="7" t="n">
        <f aca="false">S224-S225</f>
        <v>10840.8359246357</v>
      </c>
      <c r="T226" s="7" t="n">
        <f aca="false">T224-T225</f>
        <v>12480.3754943912</v>
      </c>
      <c r="U226" s="7" t="n">
        <f aca="false">U224-U225</f>
        <v>14343.8088264082</v>
      </c>
      <c r="V226" s="7" t="n">
        <f aca="false">V224-V225</f>
        <v>16462.759907221</v>
      </c>
      <c r="W226" s="7" t="n">
        <f aca="false">W224-W225</f>
        <v>18873.2653766326</v>
      </c>
      <c r="X226" s="7" t="n">
        <f aca="false">X224-X225</f>
        <v>21616.3931223203</v>
      </c>
      <c r="Y226" s="7" t="n">
        <f aca="false">Y224-Y225</f>
        <v>24738.947429166</v>
      </c>
      <c r="Z226" s="7" t="n">
        <f aca="false">Z224-Z225</f>
        <v>28294.2728039545</v>
      </c>
      <c r="AA226" s="7" t="n">
        <f aca="false">AA224-AA225</f>
        <v>32343.1702927872</v>
      </c>
      <c r="AB226" s="7" t="n">
        <f aca="false">AB224-AB225</f>
        <v>36954.9420428077</v>
      </c>
      <c r="AC226" s="7" t="n">
        <f aca="false">AC224-AC225</f>
        <v>42208.5820648928</v>
      </c>
      <c r="AD226" s="7" t="n">
        <f aca="false">AD224-AD225</f>
        <v>48194.1336677421</v>
      </c>
      <c r="AE226" s="7" t="n">
        <f aca="false">AE224-AE225</f>
        <v>55014.2368995111</v>
      </c>
      <c r="AF226" s="7" t="n">
        <f aca="false">AF224-AF225</f>
        <v>62785.892600061</v>
      </c>
      <c r="AG226" s="7" t="n">
        <f aca="false">AG224-AG225</f>
        <v>71642.4733911988</v>
      </c>
      <c r="AH226" s="7" t="n">
        <f aca="false">AH224-AH225</f>
        <v>81736.0161779978</v>
      </c>
      <c r="AI226" s="7" t="n">
        <f aca="false">AI224-AI225</f>
        <v>93239.8355744079</v>
      </c>
      <c r="AJ226" s="7" t="n">
        <f aca="false">AJ224-AJ225</f>
        <v>106351.503184113</v>
      </c>
      <c r="AK226" s="7" t="n">
        <f aca="false">AK224-AK225</f>
        <v>121296.243957829</v>
      </c>
      <c r="AL226" s="7" t="n">
        <f aca="false">AL224-AL225</f>
        <v>138330.808019105</v>
      </c>
      <c r="AM226" s="7" t="n">
        <f aca="false">AM224-AM225</f>
        <v>157747.884525517</v>
      </c>
      <c r="AN226" s="7" t="n">
        <f aca="false">AN224-AN225</f>
        <v>176761.345858034</v>
      </c>
      <c r="AO226" s="7" t="n">
        <f aca="false">AO224-AO225</f>
        <v>194867.94205713</v>
      </c>
      <c r="AP226" s="7" t="n">
        <f aca="false">AP224-AP225</f>
        <v>212109.572672554</v>
      </c>
      <c r="AQ226" s="7" t="n">
        <f aca="false">AQ224-AQ225</f>
        <v>228530.402351302</v>
      </c>
      <c r="AR226" s="7" t="n">
        <f aca="false">AR224-AR225</f>
        <v>244172.192397045</v>
      </c>
      <c r="AS226" s="7" t="n">
        <f aca="false">AS224-AS225</f>
        <v>259074.439178847</v>
      </c>
      <c r="AT226" s="7" t="n">
        <f aca="false">AT224-AT225</f>
        <v>273274.504182105</v>
      </c>
      <c r="AU226" s="7" t="n">
        <f aca="false">AU224-AU225</f>
        <v>286807.736225832</v>
      </c>
      <c r="AV226" s="7" t="n">
        <f aca="false">AV224-AV225</f>
        <v>299707.586336557</v>
      </c>
      <c r="AW226" s="7" t="n">
        <f aca="false">AW224-AW225</f>
        <v>312005.715737525</v>
      </c>
      <c r="AX226" s="7" t="n">
        <f aca="false">AX224-AX225</f>
        <v>323732.097382333</v>
      </c>
      <c r="AY226" s="7" t="n">
        <f aca="false">AY224-AY225</f>
        <v>334915.1114346</v>
      </c>
      <c r="AZ226" s="7" t="n">
        <f aca="false">AZ224-AZ225</f>
        <v>345581.635069453</v>
      </c>
      <c r="BA226" s="7" t="n">
        <f aca="false">BA224-BA225</f>
        <v>355757.126948588</v>
      </c>
      <c r="BB226" s="7" t="n">
        <f aca="false">BB224-BB225</f>
        <v>365465.706698127</v>
      </c>
      <c r="BC226" s="7" t="n">
        <f aca="false">BC224-BC225</f>
        <v>374730.22969752</v>
      </c>
      <c r="BD226" s="7" t="n">
        <f aca="false">BD224-BD225</f>
        <v>383572.357468044</v>
      </c>
      <c r="BE226" s="7" t="n">
        <f aca="false">BE224-BE225</f>
        <v>392012.623931135</v>
      </c>
      <c r="BF226" s="7" t="n">
        <f aca="false">BF224-BF225</f>
        <v>400070.4977896</v>
      </c>
      <c r="BG226" s="7" t="n">
        <f aca="false">BG224-BG225</f>
        <v>407764.441268728</v>
      </c>
      <c r="BH226" s="7" t="n">
        <f aca="false">BH224-BH225</f>
        <v>415111.9654393</v>
      </c>
      <c r="BI226" s="7" t="n">
        <f aca="false">BI224-BI225</f>
        <v>422129.682330503</v>
      </c>
      <c r="BJ226" s="7" t="n">
        <f aca="false">BJ224-BJ225</f>
        <v>428833.354027595</v>
      </c>
      <c r="BK226" s="7" t="n">
        <f aca="false">BK224-BK225</f>
        <v>435237.938936963</v>
      </c>
    </row>
    <row r="227" customFormat="false" ht="15" hidden="false" customHeight="false" outlineLevel="0" collapsed="false">
      <c r="A227" s="0" t="s">
        <v>202</v>
      </c>
      <c r="D227" s="7" t="n">
        <f aca="false">$E$60*$E$61</f>
        <v>0</v>
      </c>
      <c r="E227" s="7" t="n">
        <f aca="false">$E$60*$E$61</f>
        <v>0</v>
      </c>
      <c r="F227" s="7" t="n">
        <f aca="false">$E$60*$E$61</f>
        <v>0</v>
      </c>
      <c r="G227" s="7" t="n">
        <f aca="false">$E$60*$E$61</f>
        <v>0</v>
      </c>
      <c r="H227" s="7" t="n">
        <f aca="false">$E$60*$E$61</f>
        <v>0</v>
      </c>
      <c r="I227" s="7" t="n">
        <f aca="false">$E$60*$E$61</f>
        <v>0</v>
      </c>
      <c r="J227" s="7" t="n">
        <f aca="false">$E$60*$E$61</f>
        <v>0</v>
      </c>
      <c r="K227" s="7" t="n">
        <f aca="false">$E$60*$E$61</f>
        <v>0</v>
      </c>
      <c r="L227" s="7" t="n">
        <f aca="false">$E$60*$E$61</f>
        <v>0</v>
      </c>
      <c r="M227" s="7" t="n">
        <f aca="false">$E$60*$E$61</f>
        <v>0</v>
      </c>
      <c r="N227" s="7" t="n">
        <f aca="false">$E$60*$E$61</f>
        <v>0</v>
      </c>
      <c r="O227" s="7" t="n">
        <f aca="false">$E$60*$E$61</f>
        <v>0</v>
      </c>
      <c r="P227" s="7" t="n">
        <f aca="false">$E$60*$E$61</f>
        <v>0</v>
      </c>
      <c r="Q227" s="7" t="n">
        <f aca="false">$E$60*$E$61</f>
        <v>0</v>
      </c>
      <c r="R227" s="7" t="n">
        <f aca="false">$E$60*$E$61</f>
        <v>0</v>
      </c>
      <c r="S227" s="7" t="n">
        <f aca="false">$E$60*$E$61</f>
        <v>0</v>
      </c>
      <c r="T227" s="7" t="n">
        <f aca="false">$E$60*$E$61</f>
        <v>0</v>
      </c>
      <c r="U227" s="7" t="n">
        <f aca="false">$E$60*$E$61</f>
        <v>0</v>
      </c>
      <c r="V227" s="7" t="n">
        <f aca="false">$E$60*$E$61</f>
        <v>0</v>
      </c>
      <c r="W227" s="7" t="n">
        <f aca="false">$E$60*$E$61</f>
        <v>0</v>
      </c>
      <c r="X227" s="7" t="n">
        <f aca="false">$E$60*$E$61</f>
        <v>0</v>
      </c>
      <c r="Y227" s="7" t="n">
        <f aca="false">$E$60*$E$61</f>
        <v>0</v>
      </c>
      <c r="Z227" s="7" t="n">
        <f aca="false">$E$60*$E$61</f>
        <v>0</v>
      </c>
      <c r="AA227" s="7" t="n">
        <f aca="false">$E$60*$E$61</f>
        <v>0</v>
      </c>
      <c r="AB227" s="7" t="n">
        <f aca="false">$E$60*$E$61</f>
        <v>0</v>
      </c>
      <c r="AC227" s="7" t="n">
        <f aca="false">$E$60*$E$61</f>
        <v>0</v>
      </c>
      <c r="AD227" s="7" t="n">
        <f aca="false">$E$60*$E$61</f>
        <v>0</v>
      </c>
      <c r="AE227" s="7" t="n">
        <f aca="false">$E$60*$E$61</f>
        <v>0</v>
      </c>
      <c r="AF227" s="7" t="n">
        <f aca="false">$E$60*$E$61</f>
        <v>0</v>
      </c>
      <c r="AG227" s="7" t="n">
        <f aca="false">$E$60*$E$61</f>
        <v>0</v>
      </c>
      <c r="AH227" s="7" t="n">
        <f aca="false">$E$60*$E$61</f>
        <v>0</v>
      </c>
      <c r="AI227" s="7" t="n">
        <f aca="false">$E$60*$E$61</f>
        <v>0</v>
      </c>
      <c r="AJ227" s="7" t="n">
        <f aca="false">$E$60*$E$61</f>
        <v>0</v>
      </c>
      <c r="AK227" s="7" t="n">
        <f aca="false">$E$60*$E$61</f>
        <v>0</v>
      </c>
      <c r="AL227" s="7" t="n">
        <f aca="false">$E$60*$E$61</f>
        <v>0</v>
      </c>
      <c r="AM227" s="7" t="n">
        <f aca="false">$E$60*$E$61</f>
        <v>0</v>
      </c>
      <c r="AN227" s="7" t="n">
        <f aca="false">$E$60*$E$61</f>
        <v>0</v>
      </c>
      <c r="AO227" s="7" t="n">
        <f aca="false">$E$60*$E$61</f>
        <v>0</v>
      </c>
      <c r="AP227" s="7" t="n">
        <f aca="false">$E$60*$E$61</f>
        <v>0</v>
      </c>
      <c r="AQ227" s="7" t="n">
        <f aca="false">$E$60*$E$61</f>
        <v>0</v>
      </c>
      <c r="AR227" s="7" t="n">
        <f aca="false">$E$60*$E$61</f>
        <v>0</v>
      </c>
      <c r="AS227" s="7" t="n">
        <f aca="false">$E$60*$E$61</f>
        <v>0</v>
      </c>
      <c r="AT227" s="7" t="n">
        <f aca="false">$E$60*$E$61</f>
        <v>0</v>
      </c>
      <c r="AU227" s="7" t="n">
        <f aca="false">$E$60*$E$61</f>
        <v>0</v>
      </c>
      <c r="AV227" s="7" t="n">
        <f aca="false">$E$60*$E$61</f>
        <v>0</v>
      </c>
      <c r="AW227" s="7" t="n">
        <f aca="false">$E$60*$E$61</f>
        <v>0</v>
      </c>
      <c r="AX227" s="7" t="n">
        <f aca="false">$E$60*$E$61</f>
        <v>0</v>
      </c>
      <c r="AY227" s="7" t="n">
        <f aca="false">$E$60*$E$61</f>
        <v>0</v>
      </c>
      <c r="AZ227" s="7" t="n">
        <f aca="false">$E$60*$E$61</f>
        <v>0</v>
      </c>
      <c r="BA227" s="7" t="n">
        <f aca="false">$E$60*$E$61</f>
        <v>0</v>
      </c>
      <c r="BB227" s="7" t="n">
        <f aca="false">$E$60*$E$61</f>
        <v>0</v>
      </c>
      <c r="BC227" s="7" t="n">
        <f aca="false">$E$60*$E$61</f>
        <v>0</v>
      </c>
      <c r="BD227" s="7" t="n">
        <f aca="false">$E$60*$E$61</f>
        <v>0</v>
      </c>
      <c r="BE227" s="7" t="n">
        <f aca="false">$E$60*$E$61</f>
        <v>0</v>
      </c>
      <c r="BF227" s="7" t="n">
        <f aca="false">$E$60*$E$61</f>
        <v>0</v>
      </c>
      <c r="BG227" s="7" t="n">
        <f aca="false">$E$60*$E$61</f>
        <v>0</v>
      </c>
      <c r="BH227" s="7" t="n">
        <f aca="false">$E$60*$E$61</f>
        <v>0</v>
      </c>
      <c r="BI227" s="7" t="n">
        <f aca="false">$E$60*$E$61</f>
        <v>0</v>
      </c>
      <c r="BJ227" s="7" t="n">
        <f aca="false">$E$60*$E$61</f>
        <v>0</v>
      </c>
      <c r="BK227" s="7" t="n">
        <f aca="false">$E$60*$E$61</f>
        <v>0</v>
      </c>
    </row>
    <row r="228" customFormat="false" ht="15" hidden="false" customHeight="false" outlineLevel="0" collapsed="false">
      <c r="A228" s="0" t="s">
        <v>203</v>
      </c>
      <c r="D228" s="7" t="n">
        <f aca="false">D226+D227</f>
        <v>263.62464128</v>
      </c>
      <c r="E228" s="7" t="n">
        <f aca="false">E226+E227</f>
        <v>553.6692766374</v>
      </c>
      <c r="F228" s="7" t="n">
        <f aca="false">F226+F227</f>
        <v>871.978883456373</v>
      </c>
      <c r="G228" s="7" t="n">
        <f aca="false">G226+G227</f>
        <v>1223.15369577601</v>
      </c>
      <c r="H228" s="7" t="n">
        <f aca="false">H226+H227</f>
        <v>1612.40231253696</v>
      </c>
      <c r="I228" s="7" t="n">
        <f aca="false">I226+I227</f>
        <v>2045.62895683019</v>
      </c>
      <c r="J228" s="7" t="n">
        <f aca="false">J226+J227</f>
        <v>2529.53282363348</v>
      </c>
      <c r="K228" s="7" t="n">
        <f aca="false">K226+K227</f>
        <v>3071.72121652463</v>
      </c>
      <c r="L228" s="7" t="n">
        <f aca="false">L226+L227</f>
        <v>3680.83841140115</v>
      </c>
      <c r="M228" s="7" t="n">
        <f aca="false">M226+M227</f>
        <v>4366.71245606869</v>
      </c>
      <c r="N228" s="7" t="n">
        <f aca="false">N226+N227</f>
        <v>5140.52242334095</v>
      </c>
      <c r="O228" s="7" t="n">
        <f aca="false">O226+O227</f>
        <v>6014.98898733503</v>
      </c>
      <c r="P228" s="7" t="n">
        <f aca="false">P226+P227</f>
        <v>7004.59159400122</v>
      </c>
      <c r="Q228" s="7" t="n">
        <f aca="false">Q226+Q227</f>
        <v>8125.81595449696</v>
      </c>
      <c r="R228" s="7" t="n">
        <f aca="false">R226+R227</f>
        <v>9397.43611167124</v>
      </c>
      <c r="S228" s="7" t="n">
        <f aca="false">S226+S227</f>
        <v>10840.8359246357</v>
      </c>
      <c r="T228" s="7" t="n">
        <f aca="false">T226+T227</f>
        <v>12480.3754943912</v>
      </c>
      <c r="U228" s="7" t="n">
        <f aca="false">U226+U227</f>
        <v>14343.8088264082</v>
      </c>
      <c r="V228" s="7" t="n">
        <f aca="false">V226+V227</f>
        <v>16462.759907221</v>
      </c>
      <c r="W228" s="7" t="n">
        <f aca="false">W226+W227</f>
        <v>18873.2653766326</v>
      </c>
      <c r="X228" s="7" t="n">
        <f aca="false">X226+X227</f>
        <v>21616.3931223203</v>
      </c>
      <c r="Y228" s="7" t="n">
        <f aca="false">Y226+Y227</f>
        <v>24738.947429166</v>
      </c>
      <c r="Z228" s="7" t="n">
        <f aca="false">Z226+Z227</f>
        <v>28294.2728039545</v>
      </c>
      <c r="AA228" s="7" t="n">
        <f aca="false">AA226+AA227</f>
        <v>32343.1702927872</v>
      </c>
      <c r="AB228" s="7" t="n">
        <f aca="false">AB226+AB227</f>
        <v>36954.9420428077</v>
      </c>
      <c r="AC228" s="7" t="n">
        <f aca="false">AC226+AC227</f>
        <v>42208.5820648928</v>
      </c>
      <c r="AD228" s="7" t="n">
        <f aca="false">AD226+AD227</f>
        <v>48194.1336677421</v>
      </c>
      <c r="AE228" s="7" t="n">
        <f aca="false">AE226+AE227</f>
        <v>55014.2368995111</v>
      </c>
      <c r="AF228" s="7" t="n">
        <f aca="false">AF226+AF227</f>
        <v>62785.892600061</v>
      </c>
      <c r="AG228" s="7" t="n">
        <f aca="false">AG226+AG227</f>
        <v>71642.4733911988</v>
      </c>
      <c r="AH228" s="7" t="n">
        <f aca="false">AH226+AH227</f>
        <v>81736.0161779978</v>
      </c>
      <c r="AI228" s="7" t="n">
        <f aca="false">AI226+AI227</f>
        <v>93239.8355744079</v>
      </c>
      <c r="AJ228" s="7" t="n">
        <f aca="false">AJ226+AJ227</f>
        <v>106351.503184113</v>
      </c>
      <c r="AK228" s="7" t="n">
        <f aca="false">AK226+AK227</f>
        <v>121296.243957829</v>
      </c>
      <c r="AL228" s="7" t="n">
        <f aca="false">AL226+AL227</f>
        <v>138330.808019105</v>
      </c>
      <c r="AM228" s="7" t="n">
        <f aca="false">AM226+AM227</f>
        <v>157747.884525517</v>
      </c>
      <c r="AN228" s="7" t="n">
        <f aca="false">AN226+AN227</f>
        <v>176761.345858034</v>
      </c>
      <c r="AO228" s="7" t="n">
        <f aca="false">AO226+AO227</f>
        <v>194867.94205713</v>
      </c>
      <c r="AP228" s="7" t="n">
        <f aca="false">AP226+AP227</f>
        <v>212109.572672554</v>
      </c>
      <c r="AQ228" s="7" t="n">
        <f aca="false">AQ226+AQ227</f>
        <v>228530.402351302</v>
      </c>
      <c r="AR228" s="7" t="n">
        <f aca="false">AR226+AR227</f>
        <v>244172.192397045</v>
      </c>
      <c r="AS228" s="7" t="n">
        <f aca="false">AS226+AS227</f>
        <v>259074.439178847</v>
      </c>
      <c r="AT228" s="7" t="n">
        <f aca="false">AT226+AT227</f>
        <v>273274.504182105</v>
      </c>
      <c r="AU228" s="7" t="n">
        <f aca="false">AU226+AU227</f>
        <v>286807.736225832</v>
      </c>
      <c r="AV228" s="7" t="n">
        <f aca="false">AV226+AV227</f>
        <v>299707.586336557</v>
      </c>
      <c r="AW228" s="7" t="n">
        <f aca="false">AW226+AW227</f>
        <v>312005.715737525</v>
      </c>
      <c r="AX228" s="7" t="n">
        <f aca="false">AX226+AX227</f>
        <v>323732.097382333</v>
      </c>
      <c r="AY228" s="7" t="n">
        <f aca="false">AY226+AY227</f>
        <v>334915.1114346</v>
      </c>
      <c r="AZ228" s="7" t="n">
        <f aca="false">AZ226+AZ227</f>
        <v>345581.635069453</v>
      </c>
      <c r="BA228" s="7" t="n">
        <f aca="false">BA226+BA227</f>
        <v>355757.126948588</v>
      </c>
      <c r="BB228" s="7" t="n">
        <f aca="false">BB226+BB227</f>
        <v>365465.706698127</v>
      </c>
      <c r="BC228" s="7" t="n">
        <f aca="false">BC226+BC227</f>
        <v>374730.22969752</v>
      </c>
      <c r="BD228" s="7" t="n">
        <f aca="false">BD226+BD227</f>
        <v>383572.357468044</v>
      </c>
      <c r="BE228" s="7" t="n">
        <f aca="false">BE226+BE227</f>
        <v>392012.623931135</v>
      </c>
      <c r="BF228" s="7" t="n">
        <f aca="false">BF226+BF227</f>
        <v>400070.4977896</v>
      </c>
      <c r="BG228" s="7" t="n">
        <f aca="false">BG226+BG227</f>
        <v>407764.441268728</v>
      </c>
      <c r="BH228" s="7" t="n">
        <f aca="false">BH226+BH227</f>
        <v>415111.9654393</v>
      </c>
      <c r="BI228" s="7" t="n">
        <f aca="false">BI226+BI227</f>
        <v>422129.682330503</v>
      </c>
      <c r="BJ228" s="7" t="n">
        <f aca="false">BJ226+BJ227</f>
        <v>428833.354027595</v>
      </c>
      <c r="BK228" s="7" t="n">
        <f aca="false">BK226+BK227</f>
        <v>435237.938936963</v>
      </c>
    </row>
    <row r="229" customFormat="false" ht="15" hidden="false" customHeight="false" outlineLevel="0" collapsed="false">
      <c r="A229" s="0" t="s">
        <v>204</v>
      </c>
      <c r="D229" s="7" t="n">
        <f aca="false">D224*($E$9+$E$11*$E$12)+D218*($E$10+$E$14*$E$13)+D227*$E$9+$E$60*$E$10</f>
        <v>11.221063392</v>
      </c>
      <c r="E229" s="7" t="n">
        <f aca="false">E224*($E$9+$E$11*$E$12)+E218*($E$10+$E$14*$E$13)+E227*$E$9+$E$60*$E$10</f>
        <v>23.533756712235</v>
      </c>
      <c r="F229" s="7" t="n">
        <f aca="false">F224*($E$9+$E$11*$E$12)+F218*($E$10+$E$14*$E$13)+F227*$E$9+$E$60*$E$10</f>
        <v>37.0322215876478</v>
      </c>
      <c r="G229" s="7" t="n">
        <f aca="false">G224*($E$9+$E$11*$E$12)+G218*($E$10+$E$14*$E$13)+G227*$E$9+$E$60*$E$10</f>
        <v>51.9112736503925</v>
      </c>
      <c r="H229" s="7" t="n">
        <f aca="false">H224*($E$9+$E$11*$E$12)+H218*($E$10+$E$14*$E$13)+H227*$E$9+$E$60*$E$10</f>
        <v>68.3913643196178</v>
      </c>
      <c r="I229" s="7" t="n">
        <f aca="false">I224*($E$9+$E$11*$E$12)+I218*($E$10+$E$14*$E$13)+I227*$E$9+$E$60*$E$10</f>
        <v>86.7222678509241</v>
      </c>
      <c r="J229" s="7" t="n">
        <f aca="false">J224*($E$9+$E$11*$E$12)+J218*($E$10+$E$14*$E$13)+J227*$E$9+$E$60*$E$10</f>
        <v>107.187278463415</v>
      </c>
      <c r="K229" s="7" t="n">
        <f aca="false">K224*($E$9+$E$11*$E$12)+K218*($E$10+$E$14*$E$13)+K227*$E$9+$E$60*$E$10</f>
        <v>130.107989347953</v>
      </c>
      <c r="L229" s="7" t="n">
        <f aca="false">L224*($E$9+$E$11*$E$12)+L218*($E$10+$E$14*$E$13)+L227*$E$9+$E$60*$E$10</f>
        <v>155.849735386898</v>
      </c>
      <c r="M229" s="7" t="n">
        <f aca="false">M224*($E$9+$E$11*$E$12)+M218*($E$10+$E$14*$E$13)+M227*$E$9+$E$60*$E$10</f>
        <v>184.827792847716</v>
      </c>
      <c r="N229" s="7" t="n">
        <f aca="false">N224*($E$9+$E$11*$E$12)+N218*($E$10+$E$14*$E$13)+N227*$E$9+$E$60*$E$10</f>
        <v>217.514442347099</v>
      </c>
      <c r="O229" s="7" t="n">
        <f aca="false">O224*($E$9+$E$11*$E$12)+O218*($E$10+$E$14*$E$13)+O227*$E$9+$E$60*$E$10</f>
        <v>254.447016242752</v>
      </c>
      <c r="P229" s="7" t="n">
        <f aca="false">P224*($E$9+$E$11*$E$12)+P218*($E$10+$E$14*$E$13)+P227*$E$9+$E$60*$E$10</f>
        <v>296.237068552422</v>
      </c>
      <c r="Q229" s="7" t="n">
        <f aca="false">Q224*($E$9+$E$11*$E$12)+Q218*($E$10+$E$14*$E$13)+Q227*$E$9+$E$60*$E$10</f>
        <v>343.580824815378</v>
      </c>
      <c r="R229" s="7" t="n">
        <f aca="false">R224*($E$9+$E$11*$E$12)+R218*($E$10+$E$14*$E$13)+R227*$E$9+$E$60*$E$10</f>
        <v>397.271091332642</v>
      </c>
      <c r="S229" s="7" t="n">
        <f aca="false">S224*($E$9+$E$11*$E$12)+S218*($E$10+$E$14*$E$13)+S227*$E$9+$E$60*$E$10</f>
        <v>458.210828327377</v>
      </c>
      <c r="T229" s="7" t="n">
        <f aca="false">T224*($E$9+$E$11*$E$12)+T218*($E$10+$E$14*$E$13)+T227*$E$9+$E$60*$E$10</f>
        <v>527.428620187794</v>
      </c>
      <c r="U229" s="7" t="n">
        <f aca="false">U224*($E$9+$E$11*$E$12)+U218*($E$10+$E$14*$E$13)+U227*$E$9+$E$60*$E$10</f>
        <v>606.096308583767</v>
      </c>
      <c r="V229" s="7" t="n">
        <f aca="false">V224*($E$9+$E$11*$E$12)+V218*($E$10+$E$14*$E$13)+V227*$E$9+$E$60*$E$10</f>
        <v>695.549091446158</v>
      </c>
      <c r="W229" s="7" t="n">
        <f aca="false">W224*($E$9+$E$11*$E$12)+W218*($E$10+$E$14*$E$13)+W227*$E$9+$E$60*$E$10</f>
        <v>797.308433204191</v>
      </c>
      <c r="X229" s="7" t="n">
        <f aca="false">X224*($E$9+$E$11*$E$12)+X218*($E$10+$E$14*$E$13)+X227*$E$9+$E$60*$E$10</f>
        <v>913.10818002028</v>
      </c>
      <c r="Y229" s="7" t="n">
        <f aca="false">Y224*($E$9+$E$11*$E$12)+Y218*($E$10+$E$14*$E$13)+Y227*$E$9+$E$60*$E$10</f>
        <v>1044.92432887466</v>
      </c>
      <c r="Z229" s="7" t="n">
        <f aca="false">Z224*($E$9+$E$11*$E$12)+Z218*($E$10+$E$14*$E$13)+Z227*$E$9+$E$60*$E$10</f>
        <v>1195.00896218164</v>
      </c>
      <c r="AA229" s="7" t="n">
        <f aca="false">AA224*($E$9+$E$11*$E$12)+AA218*($E$10+$E$14*$E$13)+AA227*$E$9+$E$60*$E$10</f>
        <v>1365.92893124557</v>
      </c>
      <c r="AB229" s="7" t="n">
        <f aca="false">AB224*($E$9+$E$11*$E$12)+AB218*($E$10+$E$14*$E$13)+AB227*$E$9+$E$60*$E$10</f>
        <v>1560.60995351909</v>
      </c>
      <c r="AC229" s="7" t="n">
        <f aca="false">AC224*($E$9+$E$11*$E$12)+AC218*($E$10+$E$14*$E$13)+AC227*$E$9+$E$60*$E$10</f>
        <v>1782.38688171299</v>
      </c>
      <c r="AD229" s="7" t="n">
        <f aca="false">AD224*($E$9+$E$11*$E$12)+AD218*($E$10+$E$14*$E$13)+AD227*$E$9+$E$60*$E$10</f>
        <v>2035.0610089265</v>
      </c>
      <c r="AE229" s="7" t="n">
        <f aca="false">AE224*($E$9+$E$11*$E$12)+AE218*($E$10+$E$14*$E$13)+AE227*$E$9+$E$60*$E$10</f>
        <v>2322.9653949432</v>
      </c>
      <c r="AF229" s="7" t="n">
        <f aca="false">AF224*($E$9+$E$11*$E$12)+AF218*($E$10+$E$14*$E$13)+AF227*$E$9+$E$60*$E$10</f>
        <v>2651.03933675176</v>
      </c>
      <c r="AG229" s="7" t="n">
        <f aca="false">AG224*($E$9+$E$11*$E$12)+AG218*($E$10+$E$14*$E$13)+AG227*$E$9+$E$60*$E$10</f>
        <v>3024.91326357287</v>
      </c>
      <c r="AH229" s="7" t="n">
        <f aca="false">AH224*($E$9+$E$11*$E$12)+AH218*($E$10+$E$14*$E$13)+AH227*$E$9+$E$60*$E$10</f>
        <v>3451.0055159071</v>
      </c>
      <c r="AI229" s="7" t="n">
        <f aca="false">AI224*($E$9+$E$11*$E$12)+AI218*($E$10+$E$14*$E$13)+AI227*$E$9+$E$60*$E$10</f>
        <v>3936.63267244564</v>
      </c>
      <c r="AJ229" s="7" t="n">
        <f aca="false">AJ224*($E$9+$E$11*$E$12)+AJ218*($E$10+$E$14*$E$13)+AJ227*$E$9+$E$60*$E$10</f>
        <v>4490.1353216182</v>
      </c>
      <c r="AK229" s="7" t="n">
        <f aca="false">AK224*($E$9+$E$11*$E$12)+AK218*($E$10+$E$14*$E$13)+AK227*$E$9+$E$60*$E$10</f>
        <v>5121.02144009645</v>
      </c>
      <c r="AL229" s="7" t="n">
        <f aca="false">AL224*($E$9+$E$11*$E$12)+AL218*($E$10+$E$14*$E$13)+AL227*$E$9+$E$60*$E$10</f>
        <v>5840.12984329155</v>
      </c>
      <c r="AM229" s="7" t="n">
        <f aca="false">AM224*($E$9+$E$11*$E$12)+AM218*($E$10+$E$14*$E$13)+AM227*$E$9+$E$60*$E$10</f>
        <v>6659.8165179854</v>
      </c>
      <c r="AN229" s="7" t="n">
        <f aca="false">AN224*($E$9+$E$11*$E$12)+AN218*($E$10+$E$14*$E$13)+AN227*$E$9+$E$60*$E$10</f>
        <v>7461.37469550217</v>
      </c>
      <c r="AO229" s="7" t="n">
        <f aca="false">AO224*($E$9+$E$11*$E$12)+AO218*($E$10+$E$14*$E$13)+AO227*$E$9+$E$60*$E$10</f>
        <v>8223.64058525442</v>
      </c>
      <c r="AP229" s="7" t="n">
        <f aca="false">AP224*($E$9+$E$11*$E$12)+AP218*($E$10+$E$14*$E$13)+AP227*$E$9+$E$60*$E$10</f>
        <v>8948.52240220367</v>
      </c>
      <c r="AQ229" s="7" t="n">
        <f aca="false">AQ224*($E$9+$E$11*$E$12)+AQ218*($E$10+$E$14*$E$13)+AQ227*$E$9+$E$60*$E$10</f>
        <v>9637.98148917581</v>
      </c>
      <c r="AR229" s="7" t="n">
        <f aca="false">AR224*($E$9+$E$11*$E$12)+AR218*($E$10+$E$14*$E$13)+AR227*$E$9+$E$60*$E$10</f>
        <v>10293.8696606478</v>
      </c>
      <c r="AS229" s="7" t="n">
        <f aca="false">AS224*($E$9+$E$11*$E$12)+AS218*($E$10+$E$14*$E$13)+AS227*$E$9+$E$60*$E$10</f>
        <v>10917.935656851</v>
      </c>
      <c r="AT229" s="7" t="n">
        <f aca="false">AT224*($E$9+$E$11*$E$12)+AT218*($E$10+$E$14*$E$13)+AT227*$E$9+$E$60*$E$10</f>
        <v>11511.8312005921</v>
      </c>
      <c r="AU229" s="7" t="n">
        <f aca="false">AU224*($E$9+$E$11*$E$12)+AU218*($E$10+$E$14*$E$13)+AU227*$E$9+$E$60*$E$10</f>
        <v>12077.1166820911</v>
      </c>
      <c r="AV229" s="7" t="n">
        <f aca="false">AV224*($E$9+$E$11*$E$12)+AV218*($E$10+$E$14*$E$13)+AV227*$E$9+$E$60*$E$10</f>
        <v>12615.2664954836</v>
      </c>
      <c r="AW229" s="7" t="n">
        <f aca="false">AW224*($E$9+$E$11*$E$12)+AW218*($E$10+$E$14*$E$13)+AW227*$E$9+$E$60*$E$10</f>
        <v>13127.6740490891</v>
      </c>
      <c r="AX229" s="7" t="n">
        <f aca="false">AX224*($E$9+$E$11*$E$12)+AX218*($E$10+$E$14*$E$13)+AX227*$E$9+$E$60*$E$10</f>
        <v>13615.6564701108</v>
      </c>
      <c r="AY229" s="7" t="n">
        <f aca="false">AY224*($E$9+$E$11*$E$12)+AY218*($E$10+$E$14*$E$13)+AY227*$E$9+$E$60*$E$10</f>
        <v>14080.4590230834</v>
      </c>
      <c r="AZ229" s="7" t="n">
        <f aca="false">AZ224*($E$9+$E$11*$E$12)+AZ218*($E$10+$E$14*$E$13)+AZ227*$E$9+$E$60*$E$10</f>
        <v>14523.2592601344</v>
      </c>
      <c r="BA229" s="7" t="n">
        <f aca="false">BA224*($E$9+$E$11*$E$12)+BA218*($E$10+$E$14*$E$13)+BA227*$E$9+$E$60*$E$10</f>
        <v>14945.1709199488</v>
      </c>
      <c r="BB229" s="7" t="n">
        <f aca="false">BB224*($E$9+$E$11*$E$12)+BB218*($E$10+$E$14*$E$13)+BB227*$E$9+$E$60*$E$10</f>
        <v>15347.2475912354</v>
      </c>
      <c r="BC229" s="7" t="n">
        <f aca="false">BC224*($E$9+$E$11*$E$12)+BC218*($E$10+$E$14*$E$13)+BC227*$E$9+$E$60*$E$10</f>
        <v>15730.4861554689</v>
      </c>
      <c r="BD229" s="7" t="n">
        <f aca="false">BD224*($E$9+$E$11*$E$12)+BD218*($E$10+$E$14*$E$13)+BD227*$E$9+$E$60*$E$10</f>
        <v>16095.8300227286</v>
      </c>
      <c r="BE229" s="7" t="n">
        <f aca="false">BE224*($E$9+$E$11*$E$12)+BE218*($E$10+$E$14*$E$13)+BE227*$E$9+$E$60*$E$10</f>
        <v>16444.1721735637</v>
      </c>
      <c r="BF229" s="7" t="n">
        <f aca="false">BF224*($E$9+$E$11*$E$12)+BF218*($E$10+$E$14*$E$13)+BF227*$E$9+$E$60*$E$10</f>
        <v>16776.3580189807</v>
      </c>
      <c r="BG229" s="7" t="n">
        <f aca="false">BG224*($E$9+$E$11*$E$12)+BG218*($E$10+$E$14*$E$13)+BG227*$E$9+$E$60*$E$10</f>
        <v>17093.188089873</v>
      </c>
      <c r="BH229" s="7" t="n">
        <f aca="false">BH224*($E$9+$E$11*$E$12)+BH218*($E$10+$E$14*$E$13)+BH227*$E$9+$E$60*$E$10</f>
        <v>17395.4205664837</v>
      </c>
      <c r="BI229" s="7" t="n">
        <f aca="false">BI224*($E$9+$E$11*$E$12)+BI218*($E$10+$E$14*$E$13)+BI227*$E$9+$E$60*$E$10</f>
        <v>17683.7736578159</v>
      </c>
      <c r="BJ229" s="7" t="n">
        <f aca="false">BJ224*($E$9+$E$11*$E$12)+BJ218*($E$10+$E$14*$E$13)+BJ227*$E$9+$E$60*$E$10</f>
        <v>17958.9278402696</v>
      </c>
      <c r="BK229" s="7" t="n">
        <f aca="false">BK224*($E$9+$E$11*$E$12)+BK218*($E$10+$E$14*$E$13)+BK227*$E$9+$E$60*$E$10</f>
        <v>18221.5279641912</v>
      </c>
    </row>
    <row r="230" customFormat="false" ht="15" hidden="false" customHeight="false" outlineLevel="0" collapsed="false">
      <c r="A230" s="0" t="s">
        <v>205</v>
      </c>
      <c r="D230" s="7" t="n">
        <f aca="false">(D215*$E$41+D216*$E$42+D217*$E$43)*$E$40</f>
        <v>13.7593566549392</v>
      </c>
      <c r="E230" s="7" t="n">
        <f aca="false">(E215*$E$41+E216*$E$42+E217*$E$43)*$E$40</f>
        <v>28.7711274781292</v>
      </c>
      <c r="F230" s="7" t="n">
        <f aca="false">(F215*$E$41+F216*$E$42+F217*$E$43)*$E$40</f>
        <v>45.2458228085741</v>
      </c>
      <c r="G230" s="7" t="n">
        <f aca="false">(G215*$E$41+G216*$E$42+G217*$E$43)*$E$40</f>
        <v>63.4214761938326</v>
      </c>
      <c r="H230" s="7" t="n">
        <f aca="false">(H215*$E$41+H216*$E$42+H217*$E$43)*$E$40</f>
        <v>83.5676113413395</v>
      </c>
      <c r="I230" s="7" t="n">
        <f aca="false">(I215*$E$41+I216*$E$42+I217*$E$43)*$E$40</f>
        <v>105.98975751191</v>
      </c>
      <c r="J230" s="7" t="n">
        <f aca="false">(J215*$E$41+J216*$E$42+J217*$E$43)*$E$40</f>
        <v>131.03459057479</v>
      </c>
      <c r="K230" s="7" t="n">
        <f aca="false">(K215*$E$41+K216*$E$42+K217*$E$43)*$E$40</f>
        <v>159.095787725958</v>
      </c>
      <c r="L230" s="7" t="n">
        <f aca="false">(L215*$E$41+L216*$E$42+L217*$E$43)*$E$40</f>
        <v>190.620696165148</v>
      </c>
      <c r="M230" s="7" t="n">
        <f aca="false">(M215*$E$41+M216*$E$42+M217*$E$43)*$E$40</f>
        <v>226.117930043665</v>
      </c>
      <c r="N230" s="7" t="n">
        <f aca="false">(N215*$E$41+N216*$E$42+N217*$E$43)*$E$40</f>
        <v>266.166025975684</v>
      </c>
      <c r="O230" s="7" t="n">
        <f aca="false">(O215*$E$41+O216*$E$42+O217*$E$43)*$E$40</f>
        <v>311.423305625091</v>
      </c>
      <c r="P230" s="7" t="n">
        <f aca="false">(P215*$E$41+P216*$E$42+P217*$E$43)*$E$40</f>
        <v>362.639114651473</v>
      </c>
      <c r="Q230" s="7" t="n">
        <f aca="false">(Q215*$E$41+Q216*$E$42+Q217*$E$43)*$E$40</f>
        <v>420.666630979729</v>
      </c>
      <c r="R230" s="7" t="n">
        <f aca="false">(R215*$E$41+R216*$E$42+R217*$E$43)*$E$40</f>
        <v>486.477462355214</v>
      </c>
      <c r="S230" s="7" t="n">
        <f aca="false">(S215*$E$41+S216*$E$42+S217*$E$43)*$E$40</f>
        <v>561.178283924543</v>
      </c>
      <c r="T230" s="7" t="n">
        <f aca="false">(T215*$E$41+T216*$E$42+T217*$E$43)*$E$40</f>
        <v>646.029801670465</v>
      </c>
      <c r="U230" s="7" t="n">
        <f aca="false">(U215*$E$41+U216*$E$42+U217*$E$43)*$E$40</f>
        <v>742.468367530797</v>
      </c>
      <c r="V230" s="7" t="n">
        <f aca="false">(V215*$E$41+V216*$E$42+V217*$E$43)*$E$40</f>
        <v>852.130617634253</v>
      </c>
      <c r="W230" s="7" t="n">
        <f aca="false">(W215*$E$41+W216*$E$42+W217*$E$43)*$E$40</f>
        <v>976.881557073994</v>
      </c>
      <c r="X230" s="7" t="n">
        <f aca="false">(X215*$E$41+X216*$E$42+X217*$E$43)*$E$40</f>
        <v>1118.84657390696</v>
      </c>
      <c r="Y230" s="7" t="n">
        <f aca="false">(Y215*$E$41+Y216*$E$42+Y217*$E$43)*$E$40</f>
        <v>1280.44793263244</v>
      </c>
      <c r="Z230" s="7" t="n">
        <f aca="false">(Z215*$E$41+Z216*$E$42+Z217*$E$43)*$E$40</f>
        <v>1464.44637442843</v>
      </c>
      <c r="AA230" s="7" t="n">
        <f aca="false">(AA215*$E$41+AA216*$E$42+AA217*$E$43)*$E$40</f>
        <v>1673.98853923409</v>
      </c>
      <c r="AB230" s="7" t="n">
        <f aca="false">(AB215*$E$41+AB216*$E$42+AB217*$E$43)*$E$40</f>
        <v>1912.66102486943</v>
      </c>
      <c r="AC230" s="7" t="n">
        <f aca="false">(AC215*$E$41+AC216*$E$42+AC217*$E$43)*$E$40</f>
        <v>2184.55201250251</v>
      </c>
      <c r="AD230" s="7" t="n">
        <f aca="false">(AD215*$E$41+AD216*$E$42+AD217*$E$43)*$E$40</f>
        <v>2494.32151786927</v>
      </c>
      <c r="AE230" s="7" t="n">
        <f aca="false">(AE215*$E$41+AE216*$E$42+AE217*$E$43)*$E$40</f>
        <v>2847.28147596105</v>
      </c>
      <c r="AF230" s="7" t="n">
        <f aca="false">(AF215*$E$41+AF216*$E$42+AF217*$E$43)*$E$40</f>
        <v>3249.48703596786</v>
      </c>
      <c r="AG230" s="7" t="n">
        <f aca="false">(AG215*$E$41+AG216*$E$42+AG217*$E$43)*$E$40</f>
        <v>3707.84063600939</v>
      </c>
      <c r="AH230" s="7" t="n">
        <f aca="false">(AH215*$E$41+AH216*$E$42+AH217*$E$43)*$E$40</f>
        <v>4230.21064691434</v>
      </c>
      <c r="AI230" s="7" t="n">
        <f aca="false">(AI215*$E$41+AI216*$E$42+AI217*$E$43)*$E$40</f>
        <v>4825.56662479936</v>
      </c>
      <c r="AJ230" s="7" t="n">
        <f aca="false">(AJ215*$E$41+AJ216*$E$42+AJ217*$E$43)*$E$40</f>
        <v>5504.13349775895</v>
      </c>
      <c r="AK230" s="7" t="n">
        <f aca="false">(AK215*$E$41+AK216*$E$42+AK217*$E$43)*$E$40</f>
        <v>6277.56733751623</v>
      </c>
      <c r="AL230" s="7" t="n">
        <f aca="false">(AL215*$E$41+AL216*$E$42+AL217*$E$43)*$E$40</f>
        <v>7159.155737999</v>
      </c>
      <c r="AM230" s="7" t="n">
        <f aca="false">(AM215*$E$41+AM216*$E$42+AM217*$E$43)*$E$40</f>
        <v>8164.04624587603</v>
      </c>
      <c r="AN230" s="7" t="n">
        <f aca="false">(AN215*$E$41+AN216*$E$42+AN217*$E$43)*$E$40</f>
        <v>9146.67574679395</v>
      </c>
      <c r="AO230" s="7" t="n">
        <f aca="false">(AO215*$E$41+AO216*$E$42+AO217*$E$43)*$E$40</f>
        <v>10082.1080854306</v>
      </c>
      <c r="AP230" s="7" t="n">
        <f aca="false">(AP215*$E$41+AP216*$E$42+AP217*$E$43)*$E$40</f>
        <v>10972.7590349533</v>
      </c>
      <c r="AQ230" s="7" t="n">
        <f aca="false">(AQ215*$E$41+AQ216*$E$42+AQ217*$E$43)*$E$40</f>
        <v>11820.9129697241</v>
      </c>
      <c r="AR230" s="7" t="n">
        <f aca="false">(AR215*$E$41+AR216*$E$42+AR217*$E$43)*$E$40</f>
        <v>12628.7304123137</v>
      </c>
      <c r="AS230" s="7" t="n">
        <f aca="false">(AS215*$E$41+AS216*$E$42+AS217*$E$43)*$E$40</f>
        <v>13398.2551265665</v>
      </c>
      <c r="AT230" s="7" t="n">
        <f aca="false">(AT215*$E$41+AT216*$E$42+AT217*$E$43)*$E$40</f>
        <v>14131.4207850638</v>
      </c>
      <c r="AU230" s="7" t="n">
        <f aca="false">(AU215*$E$41+AU216*$E$42+AU217*$E$43)*$E$40</f>
        <v>14830.0572375085</v>
      </c>
      <c r="AV230" s="7" t="n">
        <f aca="false">(AV215*$E$41+AV216*$E$42+AV217*$E$43)*$E$40</f>
        <v>15495.8964048511</v>
      </c>
      <c r="AW230" s="7" t="n">
        <f aca="false">(AW215*$E$41+AW216*$E$42+AW217*$E$43)*$E$40</f>
        <v>16130.5778223883</v>
      </c>
      <c r="AX230" s="7" t="n">
        <f aca="false">(AX215*$E$41+AX216*$E$42+AX217*$E$43)*$E$40</f>
        <v>16735.6538535758</v>
      </c>
      <c r="AY230" s="7" t="n">
        <f aca="false">(AY215*$E$41+AY216*$E$42+AY217*$E$43)*$E$40</f>
        <v>17312.594594909</v>
      </c>
      <c r="AZ230" s="7" t="n">
        <f aca="false">(AZ215*$E$41+AZ216*$E$42+AZ217*$E$43)*$E$40</f>
        <v>17862.7924909278</v>
      </c>
      <c r="BA230" s="7" t="n">
        <f aca="false">(BA215*$E$41+BA216*$E$42+BA217*$E$43)*$E$40</f>
        <v>18387.5666771865</v>
      </c>
      <c r="BB230" s="7" t="n">
        <f aca="false">(BB215*$E$41+BB216*$E$42+BB217*$E$43)*$E$40</f>
        <v>18888.1670678966</v>
      </c>
      <c r="BC230" s="7" t="n">
        <f aca="false">(BC215*$E$41+BC216*$E$42+BC217*$E$43)*$E$40</f>
        <v>19365.7782038897</v>
      </c>
      <c r="BD230" s="7" t="n">
        <f aca="false">(BD215*$E$41+BD216*$E$42+BD217*$E$43)*$E$40</f>
        <v>19821.5228755564</v>
      </c>
      <c r="BE230" s="7" t="n">
        <f aca="false">(BE215*$E$41+BE216*$E$42+BE217*$E$43)*$E$40</f>
        <v>20256.4655344902</v>
      </c>
      <c r="BF230" s="7" t="n">
        <f aca="false">(BF215*$E$41+BF216*$E$42+BF217*$E$43)*$E$40</f>
        <v>20671.6155066988</v>
      </c>
      <c r="BG230" s="7" t="n">
        <f aca="false">(BG215*$E$41+BG216*$E$42+BG217*$E$43)*$E$40</f>
        <v>21067.9300194345</v>
      </c>
      <c r="BH230" s="7" t="n">
        <f aca="false">(BH215*$E$41+BH216*$E$42+BH217*$E$43)*$E$40</f>
        <v>21446.3170529374</v>
      </c>
      <c r="BI230" s="7" t="n">
        <f aca="false">(BI215*$E$41+BI216*$E$42+BI217*$E$43)*$E$40</f>
        <v>21807.6380276768</v>
      </c>
      <c r="BJ230" s="7" t="n">
        <f aca="false">(BJ215*$E$41+BJ216*$E$42+BJ217*$E$43)*$E$40</f>
        <v>22152.7103370118</v>
      </c>
      <c r="BK230" s="7" t="n">
        <f aca="false">(BK215*$E$41+BK216*$E$42+BK217*$E$43)*$E$40</f>
        <v>22482.3097345713</v>
      </c>
    </row>
    <row r="231" customFormat="false" ht="15" hidden="false" customHeight="false" outlineLevel="0" collapsed="false">
      <c r="A231" s="0" t="s">
        <v>206</v>
      </c>
      <c r="D231" s="7" t="n">
        <f aca="false">D215*$E$44+D216*$E$45+D217*$E$46</f>
        <v>5.236</v>
      </c>
      <c r="E231" s="7" t="n">
        <f aca="false">E215*$E$44+E216*$E$45+E217*$E$46</f>
        <v>10.98482</v>
      </c>
      <c r="F231" s="7" t="n">
        <f aca="false">F215*$E$44+F216*$E$45+F217*$E$46</f>
        <v>17.3278105</v>
      </c>
      <c r="G231" s="7" t="n">
        <f aca="false">G215*$E$44+G216*$E$45+G217*$E$46</f>
        <v>24.3572842205</v>
      </c>
      <c r="H231" s="7" t="n">
        <f aca="false">H215*$E$44+H216*$E$45+H217*$E$46</f>
        <v>32.1780703731025</v>
      </c>
      <c r="I231" s="7" t="n">
        <f aca="false">I215*$E$44+I216*$E$45+I217*$E$46</f>
        <v>40.9092856134087</v>
      </c>
      <c r="J231" s="7" t="n">
        <f aca="false">J215*$E$44+J216*$E$45+J217*$E$46</f>
        <v>50.6863520553253</v>
      </c>
      <c r="K231" s="7" t="n">
        <f aca="false">K215*$E$44+K216*$E$45+K217*$E$46</f>
        <v>61.6632969768713</v>
      </c>
      <c r="L231" s="7" t="n">
        <f aca="false">L215*$E$44+L216*$E$45+L217*$E$46</f>
        <v>74.0153736937872</v>
      </c>
      <c r="M231" s="7" t="n">
        <f aca="false">M215*$E$44+M216*$E$45+M217*$E$46</f>
        <v>87.9420486020254</v>
      </c>
      <c r="N231" s="7" t="n">
        <f aca="false">N215*$E$44+N216*$E$45+N217*$E$46</f>
        <v>103.670405688545</v>
      </c>
      <c r="O231" s="7" t="n">
        <f aca="false">O215*$E$44+O216*$E$45+O217*$E$46</f>
        <v>121.459026990024</v>
      </c>
      <c r="P231" s="7" t="n">
        <f aca="false">P215*$E$44+P216*$E$45+P217*$E$46</f>
        <v>141.602415664623</v>
      </c>
      <c r="Q231" s="7" t="n">
        <f aca="false">Q215*$E$44+Q216*$E$45+Q217*$E$46</f>
        <v>164.436037673465</v>
      </c>
      <c r="R231" s="7" t="n">
        <f aca="false">R215*$E$44+R216*$E$45+R217*$E$46</f>
        <v>190.342068706594</v>
      </c>
      <c r="S231" s="7" t="n">
        <f aca="false">S215*$E$44+S216*$E$45+S217*$E$46</f>
        <v>219.755945115574</v>
      </c>
      <c r="T231" s="7" t="n">
        <f aca="false">T215*$E$44+T216*$E$45+T217*$E$46</f>
        <v>253.173831440292</v>
      </c>
      <c r="U231" s="7" t="n">
        <f aca="false">U215*$E$44+U216*$E$45+U217*$E$46</f>
        <v>291.161132878498</v>
      </c>
      <c r="V231" s="7" t="n">
        <f aca="false">V215*$E$44+V216*$E$45+V217*$E$46</f>
        <v>334.362199014184</v>
      </c>
      <c r="W231" s="7" t="n">
        <f aca="false">W215*$E$44+W216*$E$45+W217*$E$46</f>
        <v>383.511385604012</v>
      </c>
      <c r="X231" s="7" t="n">
        <f aca="false">X215*$E$44+X216*$E$45+X217*$E$46</f>
        <v>439.445664571791</v>
      </c>
      <c r="Y231" s="7" t="n">
        <f aca="false">Y215*$E$44+Y216*$E$45+Y217*$E$46</f>
        <v>503.118998980954</v>
      </c>
      <c r="Z231" s="7" t="n">
        <f aca="false">Z215*$E$44+Z216*$E$45+Z217*$E$46</f>
        <v>575.618730101774</v>
      </c>
      <c r="AA231" s="7" t="n">
        <f aca="false">AA215*$E$44+AA216*$E$45+AA217*$E$46</f>
        <v>658.184258285464</v>
      </c>
      <c r="AB231" s="7" t="n">
        <f aca="false">AB215*$E$44+AB216*$E$45+AB217*$E$46</f>
        <v>752.22833879611</v>
      </c>
      <c r="AC231" s="7" t="n">
        <f aca="false">AC215*$E$44+AC216*$E$45+AC217*$E$46</f>
        <v>859.361358711632</v>
      </c>
      <c r="AD231" s="7" t="n">
        <f aca="false">AD215*$E$44+AD216*$E$45+AD217*$E$46</f>
        <v>981.419012259762</v>
      </c>
      <c r="AE231" s="7" t="n">
        <f aca="false">AE215*$E$44+AE216*$E$45+AE217*$E$46</f>
        <v>1120.49385038544</v>
      </c>
      <c r="AF231" s="7" t="n">
        <f aca="false">AF215*$E$44+AF216*$E$45+AF217*$E$46</f>
        <v>1278.97124695683</v>
      </c>
      <c r="AG231" s="7" t="n">
        <f aca="false">AG215*$E$44+AG216*$E$45+AG217*$E$46</f>
        <v>1459.57039995343</v>
      </c>
      <c r="AH231" s="7" t="n">
        <f aca="false">AH215*$E$44+AH216*$E$45+AH217*$E$46</f>
        <v>1665.39107254717</v>
      </c>
      <c r="AI231" s="7" t="n">
        <f aca="false">AI215*$E$44+AI216*$E$45+AI217*$E$46</f>
        <v>1899.9668776743</v>
      </c>
      <c r="AJ231" s="7" t="n">
        <f aca="false">AJ215*$E$44+AJ216*$E$45+AJ217*$E$46</f>
        <v>2167.32602219898</v>
      </c>
      <c r="AK231" s="7" t="n">
        <f aca="false">AK215*$E$44+AK216*$E$45+AK217*$E$46</f>
        <v>2472.0605550229</v>
      </c>
      <c r="AL231" s="7" t="n">
        <f aca="false">AL215*$E$44+AL216*$E$45+AL217*$E$46</f>
        <v>2819.40530970445</v>
      </c>
      <c r="AM231" s="7" t="n">
        <f aca="false">AM215*$E$44+AM216*$E$45+AM217*$E$46</f>
        <v>3215.32789882943</v>
      </c>
      <c r="AN231" s="7" t="n">
        <f aca="false">AN215*$E$44+AN216*$E$45+AN217*$E$46</f>
        <v>3604.66741903731</v>
      </c>
      <c r="AO231" s="7" t="n">
        <f aca="false">AO215*$E$44+AO216*$E$45+AO217*$E$46</f>
        <v>3977.77025620457</v>
      </c>
      <c r="AP231" s="7" t="n">
        <f aca="false">AP215*$E$44+AP216*$E$45+AP217*$E$46</f>
        <v>4335.3351842293</v>
      </c>
      <c r="AQ231" s="7" t="n">
        <f aca="false">AQ215*$E$44+AQ216*$E$45+AQ217*$E$46</f>
        <v>4678.02999542357</v>
      </c>
      <c r="AR231" s="7" t="n">
        <f aca="false">AR215*$E$44+AR216*$E$45+AR217*$E$46</f>
        <v>5006.49291109392</v>
      </c>
      <c r="AS231" s="7" t="n">
        <f aca="false">AS215*$E$44+AS216*$E$45+AS217*$E$46</f>
        <v>5321.33392644031</v>
      </c>
      <c r="AT231" s="7" t="n">
        <f aca="false">AT215*$E$44+AT216*$E$45+AT217*$E$46</f>
        <v>5623.13609288783</v>
      </c>
      <c r="AU231" s="7" t="n">
        <f aca="false">AU215*$E$44+AU216*$E$45+AU217*$E$46</f>
        <v>5912.45674081605</v>
      </c>
      <c r="AV231" s="7" t="n">
        <f aca="false">AV215*$E$44+AV216*$E$45+AV217*$E$46</f>
        <v>6189.82864550781</v>
      </c>
      <c r="AW231" s="7" t="n">
        <f aca="false">AW215*$E$44+AW216*$E$45+AW217*$E$46</f>
        <v>6455.76113900435</v>
      </c>
      <c r="AX231" s="7" t="n">
        <f aca="false">AX215*$E$44+AX216*$E$45+AX217*$E$46</f>
        <v>6710.74117042404</v>
      </c>
      <c r="AY231" s="7" t="n">
        <f aca="false">AY215*$E$44+AY216*$E$45+AY217*$E$46</f>
        <v>6955.2343171798</v>
      </c>
      <c r="AZ231" s="7" t="n">
        <f aca="false">AZ215*$E$44+AZ216*$E$45+AZ217*$E$46</f>
        <v>7189.68574941308</v>
      </c>
      <c r="BA231" s="7" t="n">
        <f aca="false">BA215*$E$44+BA216*$E$45+BA217*$E$46</f>
        <v>7414.52114985147</v>
      </c>
      <c r="BB231" s="7" t="n">
        <f aca="false">BB215*$E$44+BB216*$E$45+BB217*$E$46</f>
        <v>7630.14759119112</v>
      </c>
      <c r="BC231" s="7" t="n">
        <f aca="false">BC215*$E$44+BC216*$E$45+BC217*$E$46</f>
        <v>7836.95437300465</v>
      </c>
      <c r="BD231" s="7" t="n">
        <f aca="false">BD215*$E$44+BD216*$E$45+BD217*$E$46</f>
        <v>8035.31382007946</v>
      </c>
      <c r="BE231" s="7" t="n">
        <f aca="false">BE215*$E$44+BE216*$E$45+BE217*$E$46</f>
        <v>8225.58204400015</v>
      </c>
      <c r="BF231" s="7" t="n">
        <f aca="false">BF215*$E$44+BF216*$E$45+BF217*$E$46</f>
        <v>8408.09966970244</v>
      </c>
      <c r="BG231" s="7" t="n">
        <f aca="false">BG215*$E$44+BG216*$E$45+BG217*$E$46</f>
        <v>8583.19252864303</v>
      </c>
      <c r="BH231" s="7" t="n">
        <f aca="false">BH215*$E$44+BH216*$E$45+BH217*$E$46</f>
        <v>8751.1723201517</v>
      </c>
      <c r="BI231" s="7" t="n">
        <f aca="false">BI215*$E$44+BI216*$E$45+BI217*$E$46</f>
        <v>8912.337242457</v>
      </c>
      <c r="BJ231" s="7" t="n">
        <f aca="false">BJ215*$E$44+BJ216*$E$45+BJ217*$E$46</f>
        <v>9066.97259480609</v>
      </c>
      <c r="BK231" s="7" t="n">
        <f aca="false">BK215*$E$44+BK216*$E$45+BK217*$E$46</f>
        <v>9215.3513520312</v>
      </c>
    </row>
    <row r="232" customFormat="false" ht="15" hidden="false" customHeight="false" outlineLevel="0" collapsed="false">
      <c r="A232" s="0" t="s">
        <v>207</v>
      </c>
      <c r="D232" s="7" t="n">
        <f aca="false">SUM($D204:D204)*0+$E$60*D204*$E$62</f>
        <v>0</v>
      </c>
      <c r="E232" s="7" t="n">
        <f aca="false">SUM($D204:E204)*0+$E$60*E204*$E$62</f>
        <v>0</v>
      </c>
      <c r="F232" s="7" t="n">
        <f aca="false">SUM($D204:F204)*0+$E$60*F204*$E$62</f>
        <v>0</v>
      </c>
      <c r="G232" s="7" t="n">
        <f aca="false">SUM($D204:G204)*0+$E$60*G204*$E$62</f>
        <v>0</v>
      </c>
      <c r="H232" s="7" t="n">
        <f aca="false">SUM($D204:H204)*0+$E$60*H204*$E$62</f>
        <v>0</v>
      </c>
      <c r="I232" s="7" t="n">
        <f aca="false">SUM($D204:I204)*0+$E$60*I204*$E$62</f>
        <v>0</v>
      </c>
      <c r="J232" s="7" t="n">
        <f aca="false">SUM($D204:J204)*0+$E$60*J204*$E$62</f>
        <v>0</v>
      </c>
      <c r="K232" s="7" t="n">
        <f aca="false">SUM($D204:K204)*0+$E$60*K204*$E$62</f>
        <v>0</v>
      </c>
      <c r="L232" s="7" t="n">
        <f aca="false">SUM($D204:L204)*0+$E$60*L204*$E$62</f>
        <v>0</v>
      </c>
      <c r="M232" s="7" t="n">
        <f aca="false">SUM($D204:M204)*0+$E$60*M204*$E$62</f>
        <v>0</v>
      </c>
      <c r="N232" s="7" t="n">
        <f aca="false">SUM($D204:N204)*0+$E$60*N204*$E$62</f>
        <v>0</v>
      </c>
      <c r="O232" s="7" t="n">
        <f aca="false">SUM($D204:O204)*0+$E$60*O204*$E$62</f>
        <v>0</v>
      </c>
      <c r="P232" s="7" t="n">
        <f aca="false">SUM($D204:P204)*0+$E$60*P204*$E$62</f>
        <v>0</v>
      </c>
      <c r="Q232" s="7" t="n">
        <f aca="false">SUM($D204:Q204)*0+$E$60*Q204*$E$62</f>
        <v>0</v>
      </c>
      <c r="R232" s="7" t="n">
        <f aca="false">SUM($D204:R204)*0+$E$60*R204*$E$62</f>
        <v>0</v>
      </c>
      <c r="S232" s="7" t="n">
        <f aca="false">SUM($D204:S204)*0+$E$60*S204*$E$62</f>
        <v>0</v>
      </c>
      <c r="T232" s="7" t="n">
        <f aca="false">SUM($D204:T204)*0+$E$60*T204*$E$62</f>
        <v>0</v>
      </c>
      <c r="U232" s="7" t="n">
        <f aca="false">SUM($D204:U204)*0+$E$60*U204*$E$62</f>
        <v>0</v>
      </c>
      <c r="V232" s="7" t="n">
        <f aca="false">SUM($D204:V204)*0+$E$60*V204*$E$62</f>
        <v>0</v>
      </c>
      <c r="W232" s="7" t="n">
        <f aca="false">SUM($D204:W204)*0+$E$60*W204*$E$62</f>
        <v>0</v>
      </c>
      <c r="X232" s="7" t="n">
        <f aca="false">SUM($D204:X204)*0+$E$60*X204*$E$62</f>
        <v>0</v>
      </c>
      <c r="Y232" s="7" t="n">
        <f aca="false">SUM($D204:Y204)*0+$E$60*Y204*$E$62</f>
        <v>0</v>
      </c>
      <c r="Z232" s="7" t="n">
        <f aca="false">SUM($D204:Z204)*0+$E$60*Z204*$E$62</f>
        <v>0</v>
      </c>
      <c r="AA232" s="7" t="n">
        <f aca="false">SUM($D204:AA204)*0+$E$60*AA204*$E$62</f>
        <v>0</v>
      </c>
      <c r="AB232" s="7" t="n">
        <f aca="false">SUM($D204:AB204)*0+$E$60*AB204*$E$62</f>
        <v>0</v>
      </c>
      <c r="AC232" s="7" t="n">
        <f aca="false">SUM($D204:AC204)*0+$E$60*AC204*$E$62</f>
        <v>0</v>
      </c>
      <c r="AD232" s="7" t="n">
        <f aca="false">SUM($D204:AD204)*0+$E$60*AD204*$E$62</f>
        <v>0</v>
      </c>
      <c r="AE232" s="7" t="n">
        <f aca="false">SUM($D204:AE204)*0+$E$60*AE204*$E$62</f>
        <v>0</v>
      </c>
      <c r="AF232" s="7" t="n">
        <f aca="false">SUM($D204:AF204)*0+$E$60*AF204*$E$62</f>
        <v>0</v>
      </c>
      <c r="AG232" s="7" t="n">
        <f aca="false">SUM($D204:AG204)*0+$E$60*AG204*$E$62</f>
        <v>0</v>
      </c>
      <c r="AH232" s="7" t="n">
        <f aca="false">SUM($D204:AH204)*0+$E$60*AH204*$E$62</f>
        <v>0</v>
      </c>
      <c r="AI232" s="7" t="n">
        <f aca="false">SUM($D204:AI204)*0+$E$60*AI204*$E$62</f>
        <v>0</v>
      </c>
      <c r="AJ232" s="7" t="n">
        <f aca="false">SUM($D204:AJ204)*0+$E$60*AJ204*$E$62</f>
        <v>0</v>
      </c>
      <c r="AK232" s="7" t="n">
        <f aca="false">SUM($D204:AK204)*0+$E$60*AK204*$E$62</f>
        <v>0</v>
      </c>
      <c r="AL232" s="7" t="n">
        <f aca="false">SUM($D204:AL204)*0+$E$60*AL204*$E$62</f>
        <v>0</v>
      </c>
      <c r="AM232" s="7" t="n">
        <f aca="false">SUM($D204:AM204)*0+$E$60*AM204*$E$62</f>
        <v>0</v>
      </c>
      <c r="AN232" s="7" t="n">
        <f aca="false">SUM($D204:AN204)*0+$E$60*AN204*$E$62</f>
        <v>0</v>
      </c>
      <c r="AO232" s="7" t="n">
        <f aca="false">SUM($D204:AO204)*0+$E$60*AO204*$E$62</f>
        <v>0</v>
      </c>
      <c r="AP232" s="7" t="n">
        <f aca="false">SUM($D204:AP204)*0+$E$60*AP204*$E$62</f>
        <v>0</v>
      </c>
      <c r="AQ232" s="7" t="n">
        <f aca="false">SUM($D204:AQ204)*0+$E$60*AQ204*$E$62</f>
        <v>0</v>
      </c>
      <c r="AR232" s="7" t="n">
        <f aca="false">SUM($D204:AR204)*0+$E$60*AR204*$E$62</f>
        <v>0</v>
      </c>
      <c r="AS232" s="7" t="n">
        <f aca="false">SUM($D204:AS204)*0+$E$60*AS204*$E$62</f>
        <v>0</v>
      </c>
      <c r="AT232" s="7" t="n">
        <f aca="false">SUM($D204:AT204)*0+$E$60*AT204*$E$62</f>
        <v>0</v>
      </c>
      <c r="AU232" s="7" t="n">
        <f aca="false">SUM($D204:AU204)*0+$E$60*AU204*$E$62</f>
        <v>0</v>
      </c>
      <c r="AV232" s="7" t="n">
        <f aca="false">SUM($D204:AV204)*0+$E$60*AV204*$E$62</f>
        <v>0</v>
      </c>
      <c r="AW232" s="7" t="n">
        <f aca="false">SUM($D204:AW204)*0+$E$60*AW204*$E$62</f>
        <v>0</v>
      </c>
      <c r="AX232" s="7" t="n">
        <f aca="false">SUM($D204:AX204)*0+$E$60*AX204*$E$62</f>
        <v>0</v>
      </c>
      <c r="AY232" s="7" t="n">
        <f aca="false">SUM($D204:AY204)*0+$E$60*AY204*$E$62</f>
        <v>0</v>
      </c>
      <c r="AZ232" s="7" t="n">
        <f aca="false">SUM($D204:AZ204)*0+$E$60*AZ204*$E$62</f>
        <v>0</v>
      </c>
      <c r="BA232" s="7" t="n">
        <f aca="false">SUM($D204:BA204)*0+$E$60*BA204*$E$62</f>
        <v>0</v>
      </c>
      <c r="BB232" s="7" t="n">
        <f aca="false">SUM($D204:BB204)*0+$E$60*BB204*$E$62</f>
        <v>0</v>
      </c>
      <c r="BC232" s="7" t="n">
        <f aca="false">SUM($D204:BC204)*0+$E$60*BC204*$E$62</f>
        <v>0</v>
      </c>
      <c r="BD232" s="7" t="n">
        <f aca="false">SUM($D204:BD204)*0+$E$60*BD204*$E$62</f>
        <v>0</v>
      </c>
      <c r="BE232" s="7" t="n">
        <f aca="false">SUM($D204:BE204)*0+$E$60*BE204*$E$62</f>
        <v>0</v>
      </c>
      <c r="BF232" s="7" t="n">
        <f aca="false">SUM($D204:BF204)*0+$E$60*BF204*$E$62</f>
        <v>0</v>
      </c>
      <c r="BG232" s="7" t="n">
        <f aca="false">SUM($D204:BG204)*0+$E$60*BG204*$E$62</f>
        <v>0</v>
      </c>
      <c r="BH232" s="7" t="n">
        <f aca="false">SUM($D204:BH204)*0+$E$60*BH204*$E$62</f>
        <v>0</v>
      </c>
      <c r="BI232" s="7" t="n">
        <f aca="false">SUM($D204:BI204)*0+$E$60*BI204*$E$62</f>
        <v>0</v>
      </c>
      <c r="BJ232" s="7" t="n">
        <f aca="false">SUM($D204:BJ204)*0+$E$60*BJ204*$E$62</f>
        <v>0</v>
      </c>
      <c r="BK232" s="7" t="n">
        <f aca="false">SUM($D204:BK204)*0+$E$60*BK204*$E$62</f>
        <v>0</v>
      </c>
    </row>
    <row r="233" customFormat="false" ht="15" hidden="false" customHeight="false" outlineLevel="0" collapsed="false">
      <c r="A233" s="0" t="s">
        <v>208</v>
      </c>
      <c r="D233" s="7" t="n">
        <f aca="false">(D230+D231+D232)*$E$18</f>
        <v>1.04474461602166</v>
      </c>
      <c r="E233" s="7" t="n">
        <f aca="false">(E230+E231+E232)*$E$18</f>
        <v>2.1865771112971</v>
      </c>
      <c r="F233" s="7" t="n">
        <f aca="false">(F230+F231+F232)*$E$18</f>
        <v>3.44154983197158</v>
      </c>
      <c r="G233" s="7" t="n">
        <f aca="false">(G230+G231+G232)*$E$18</f>
        <v>4.82783182278829</v>
      </c>
      <c r="H233" s="7" t="n">
        <f aca="false">(H230+H231+H232)*$E$18</f>
        <v>6.36601249429431</v>
      </c>
      <c r="I233" s="7" t="n">
        <f aca="false">(I230+I231+I232)*$E$18</f>
        <v>8.07944737189254</v>
      </c>
      <c r="J233" s="7" t="n">
        <f aca="false">(J230+J231+J232)*$E$18</f>
        <v>9.99465184465633</v>
      </c>
      <c r="K233" s="7" t="n">
        <f aca="false">(K230+K231+K232)*$E$18</f>
        <v>12.1417496586556</v>
      </c>
      <c r="L233" s="7" t="n">
        <f aca="false">(L230+L231+L232)*$E$18</f>
        <v>14.5549838422414</v>
      </c>
      <c r="M233" s="7" t="n">
        <f aca="false">(M230+M231+M232)*$E$18</f>
        <v>17.273298825513</v>
      </c>
      <c r="N233" s="7" t="n">
        <f aca="false">(N230+N231+N232)*$E$18</f>
        <v>20.3410037415326</v>
      </c>
      <c r="O233" s="7" t="n">
        <f aca="false">(O230+O231+O232)*$E$18</f>
        <v>23.8085282938314</v>
      </c>
      <c r="P233" s="7" t="n">
        <f aca="false">(P230+P231+P232)*$E$18</f>
        <v>27.7332841673852</v>
      </c>
      <c r="Q233" s="7" t="n">
        <f aca="false">(Q230+Q231+Q232)*$E$18</f>
        <v>32.1806467759256</v>
      </c>
      <c r="R233" s="7" t="n">
        <f aca="false">(R230+R231+R232)*$E$18</f>
        <v>37.2250742083994</v>
      </c>
      <c r="S233" s="7" t="n">
        <f aca="false">(S230+S231+S232)*$E$18</f>
        <v>42.9513825972064</v>
      </c>
      <c r="T233" s="7" t="n">
        <f aca="false">(T230+T231+T232)*$E$18</f>
        <v>49.4561998210916</v>
      </c>
      <c r="U233" s="7" t="n">
        <f aca="false">(U230+U231+U232)*$E$18</f>
        <v>56.8496225225112</v>
      </c>
      <c r="V233" s="7" t="n">
        <f aca="false">(V230+V231+V232)*$E$18</f>
        <v>65.2571049156641</v>
      </c>
      <c r="W233" s="7" t="n">
        <f aca="false">(W230+W231+W232)*$E$18</f>
        <v>74.8216118472903</v>
      </c>
      <c r="X233" s="7" t="n">
        <f aca="false">(X230+X231+X232)*$E$18</f>
        <v>85.7060731163315</v>
      </c>
      <c r="Y233" s="7" t="n">
        <f aca="false">(Y230+Y231+Y232)*$E$18</f>
        <v>98.0961812387366</v>
      </c>
      <c r="Z233" s="7" t="n">
        <f aca="false">(Z230+Z231+Z232)*$E$18</f>
        <v>112.203580749161</v>
      </c>
      <c r="AA233" s="7" t="n">
        <f aca="false">(AA230+AA231+AA232)*$E$18</f>
        <v>128.269503863575</v>
      </c>
      <c r="AB233" s="7" t="n">
        <f aca="false">(AB230+AB231+AB232)*$E$18</f>
        <v>146.568915001604</v>
      </c>
      <c r="AC233" s="7" t="n">
        <f aca="false">(AC230+AC231+AC232)*$E$18</f>
        <v>167.415235416778</v>
      </c>
      <c r="AD233" s="7" t="n">
        <f aca="false">(AD230+AD231+AD232)*$E$18</f>
        <v>191.165729157097</v>
      </c>
      <c r="AE233" s="7" t="n">
        <f aca="false">(AE230+AE231+AE232)*$E$18</f>
        <v>218.227642949057</v>
      </c>
      <c r="AF233" s="7" t="n">
        <f aca="false">(AF230+AF231+AF232)*$E$18</f>
        <v>249.065205560858</v>
      </c>
      <c r="AG233" s="7" t="n">
        <f aca="false">(AG230+AG231+AG232)*$E$18</f>
        <v>284.207606977955</v>
      </c>
      <c r="AH233" s="7" t="n">
        <f aca="false">(AH230+AH231+AH232)*$E$18</f>
        <v>324.258094570383</v>
      </c>
      <c r="AI233" s="7" t="n">
        <f aca="false">(AI230+AI231+AI232)*$E$18</f>
        <v>369.904342636051</v>
      </c>
      <c r="AJ233" s="7" t="n">
        <f aca="false">(AJ230+AJ231+AJ232)*$E$18</f>
        <v>421.930273597686</v>
      </c>
      <c r="AK233" s="7" t="n">
        <f aca="false">(AK230+AK231+AK232)*$E$18</f>
        <v>481.229534089652</v>
      </c>
      <c r="AL233" s="7" t="n">
        <f aca="false">(AL230+AL231+AL232)*$E$18</f>
        <v>548.82085762369</v>
      </c>
      <c r="AM233" s="7" t="n">
        <f aca="false">(AM230+AM231+AM232)*$E$18</f>
        <v>625.8655779588</v>
      </c>
      <c r="AN233" s="7" t="n">
        <f aca="false">(AN230+AN231+AN232)*$E$18</f>
        <v>701.323874120719</v>
      </c>
      <c r="AO233" s="7" t="n">
        <f aca="false">(AO230+AO231+AO232)*$E$18</f>
        <v>773.293308789935</v>
      </c>
      <c r="AP233" s="7" t="n">
        <f aca="false">(AP230+AP231+AP232)*$E$18</f>
        <v>841.945182055043</v>
      </c>
      <c r="AQ233" s="7" t="n">
        <f aca="false">(AQ230+AQ231+AQ232)*$E$18</f>
        <v>907.441863083123</v>
      </c>
      <c r="AR233" s="7" t="n">
        <f aca="false">(AR230+AR231+AR232)*$E$18</f>
        <v>969.937282787418</v>
      </c>
      <c r="AS233" s="7" t="n">
        <f aca="false">(AS230+AS231+AS232)*$E$18</f>
        <v>1029.57739791537</v>
      </c>
      <c r="AT233" s="7" t="n">
        <f aca="false">(AT230+AT231+AT232)*$E$18</f>
        <v>1086.50062828734</v>
      </c>
      <c r="AU233" s="7" t="n">
        <f aca="false">(AU230+AU231+AU232)*$E$18</f>
        <v>1140.83826880785</v>
      </c>
      <c r="AV233" s="7" t="n">
        <f aca="false">(AV230+AV231+AV232)*$E$18</f>
        <v>1192.71487776974</v>
      </c>
      <c r="AW233" s="7" t="n">
        <f aca="false">(AW230+AW231+AW232)*$E$18</f>
        <v>1242.2486428766</v>
      </c>
      <c r="AX233" s="7" t="n">
        <f aca="false">(AX230+AX231+AX232)*$E$18</f>
        <v>1289.55172631999</v>
      </c>
      <c r="AY233" s="7" t="n">
        <f aca="false">(AY230+AY231+AY232)*$E$18</f>
        <v>1334.73059016488</v>
      </c>
      <c r="AZ233" s="7" t="n">
        <f aca="false">(AZ230+AZ231+AZ232)*$E$18</f>
        <v>1377.88630321875</v>
      </c>
      <c r="BA233" s="7" t="n">
        <f aca="false">(BA230+BA231+BA232)*$E$18</f>
        <v>1419.11483048709</v>
      </c>
      <c r="BB233" s="7" t="n">
        <f aca="false">(BB230+BB231+BB232)*$E$18</f>
        <v>1458.50730624982</v>
      </c>
      <c r="BC233" s="7" t="n">
        <f aca="false">(BC230+BC231+BC232)*$E$18</f>
        <v>1496.15029172919</v>
      </c>
      <c r="BD233" s="7" t="n">
        <f aca="false">(BD230+BD231+BD232)*$E$18</f>
        <v>1532.12601825997</v>
      </c>
      <c r="BE233" s="7" t="n">
        <f aca="false">(BE230+BE231+BE232)*$E$18</f>
        <v>1566.51261681697</v>
      </c>
      <c r="BF233" s="7" t="n">
        <f aca="false">(BF230+BF231+BF232)*$E$18</f>
        <v>1599.38433470207</v>
      </c>
      <c r="BG233" s="7" t="n">
        <f aca="false">(BG230+BG231+BG232)*$E$18</f>
        <v>1630.81174014426</v>
      </c>
      <c r="BH233" s="7" t="n">
        <f aca="false">(BH230+BH231+BH232)*$E$18</f>
        <v>1660.8619155199</v>
      </c>
      <c r="BI233" s="7" t="n">
        <f aca="false">(BI230+BI231+BI232)*$E$18</f>
        <v>1689.59863985736</v>
      </c>
      <c r="BJ233" s="7" t="n">
        <f aca="false">(BJ230+BJ231+BJ232)*$E$18</f>
        <v>1717.08256124998</v>
      </c>
      <c r="BK233" s="7" t="n">
        <f aca="false">(BK230+BK231+BK232)*$E$18</f>
        <v>1743.37135976314</v>
      </c>
    </row>
    <row r="234" customFormat="false" ht="15" hidden="false" customHeight="false" outlineLevel="0" collapsed="false">
      <c r="A234" s="6" t="s">
        <v>209</v>
      </c>
      <c r="D234" s="7" t="n">
        <f aca="false">D226+D227-D229-D230-D231-D232-D233</f>
        <v>232.363476617039</v>
      </c>
      <c r="E234" s="7" t="n">
        <f aca="false">E226+E227-E229-E230-E231-E232-E233</f>
        <v>488.192995335739</v>
      </c>
      <c r="F234" s="7" t="n">
        <f aca="false">F226+F227-F229-F230-F231-F232-F233</f>
        <v>768.93147872818</v>
      </c>
      <c r="G234" s="7" t="n">
        <f aca="false">G226+G227-G229-G230-G231-G232-G233</f>
        <v>1078.6358298885</v>
      </c>
      <c r="H234" s="7" t="n">
        <f aca="false">H226+H227-H229-H230-H231-H232-H233</f>
        <v>1421.89925400861</v>
      </c>
      <c r="I234" s="7" t="n">
        <f aca="false">I226+I227-I229-I230-I231-I232-I233</f>
        <v>1803.92819848205</v>
      </c>
      <c r="J234" s="7" t="n">
        <f aca="false">J226+J227-J229-J230-J231-J232-J233</f>
        <v>2230.6299506953</v>
      </c>
      <c r="K234" s="7" t="n">
        <f aca="false">K226+K227-K229-K230-K231-K232-K233</f>
        <v>2708.71239281519</v>
      </c>
      <c r="L234" s="7" t="n">
        <f aca="false">L226+L227-L229-L230-L231-L232-L233</f>
        <v>3245.79762231307</v>
      </c>
      <c r="M234" s="7" t="n">
        <f aca="false">M226+M227-M229-M230-M231-M232-M233</f>
        <v>3850.55138574978</v>
      </c>
      <c r="N234" s="7" t="n">
        <f aca="false">N226+N227-N229-N230-N231-N232-N233</f>
        <v>4532.83054558809</v>
      </c>
      <c r="O234" s="7" t="n">
        <f aca="false">O226+O227-O229-O230-O231-O232-O233</f>
        <v>5303.85111018333</v>
      </c>
      <c r="P234" s="7" t="n">
        <f aca="false">P226+P227-P229-P230-P231-P232-P233</f>
        <v>6176.37971096531</v>
      </c>
      <c r="Q234" s="7" t="n">
        <f aca="false">Q226+Q227-Q229-Q230-Q231-Q232-Q233</f>
        <v>7164.95181425247</v>
      </c>
      <c r="R234" s="7" t="n">
        <f aca="false">R226+R227-R229-R230-R231-R232-R233</f>
        <v>8286.1204150684</v>
      </c>
      <c r="S234" s="7" t="n">
        <f aca="false">S226+S227-S229-S230-S231-S232-S233</f>
        <v>9558.73948467103</v>
      </c>
      <c r="T234" s="7" t="n">
        <f aca="false">T226+T227-T229-T230-T231-T232-T233</f>
        <v>11004.2870412715</v>
      </c>
      <c r="U234" s="7" t="n">
        <f aca="false">U226+U227-U229-U230-U231-U232-U233</f>
        <v>12647.2333948926</v>
      </c>
      <c r="V234" s="7" t="n">
        <f aca="false">V226+V227-V229-V230-V231-V232-V233</f>
        <v>14515.4608942108</v>
      </c>
      <c r="W234" s="7" t="n">
        <f aca="false">W226+W227-W229-W230-W231-W232-W233</f>
        <v>16640.7423889031</v>
      </c>
      <c r="X234" s="7" t="n">
        <f aca="false">X226+X227-X229-X230-X231-X232-X233</f>
        <v>19059.2866307049</v>
      </c>
      <c r="Y234" s="7" t="n">
        <f aca="false">Y226+Y227-Y229-Y230-Y231-Y232-Y233</f>
        <v>21812.3599874392</v>
      </c>
      <c r="Z234" s="7" t="n">
        <f aca="false">Z226+Z227-Z229-Z230-Z231-Z232-Z233</f>
        <v>24946.9951564935</v>
      </c>
      <c r="AA234" s="7" t="n">
        <f aca="false">AA226+AA227-AA229-AA230-AA231-AA232-AA233</f>
        <v>28516.7990601585</v>
      </c>
      <c r="AB234" s="7" t="n">
        <f aca="false">AB226+AB227-AB229-AB230-AB231-AB232-AB233</f>
        <v>32582.8738106215</v>
      </c>
      <c r="AC234" s="7" t="n">
        <f aca="false">AC226+AC227-AC229-AC230-AC231-AC232-AC233</f>
        <v>37214.8665765489</v>
      </c>
      <c r="AD234" s="7" t="n">
        <f aca="false">AD226+AD227-AD229-AD230-AD231-AD232-AD233</f>
        <v>42492.1663995294</v>
      </c>
      <c r="AE234" s="7" t="n">
        <f aca="false">AE226+AE227-AE229-AE230-AE231-AE232-AE233</f>
        <v>48505.2685352723</v>
      </c>
      <c r="AF234" s="7" t="n">
        <f aca="false">AF226+AF227-AF229-AF230-AF231-AF232-AF233</f>
        <v>55357.3297748237</v>
      </c>
      <c r="AG234" s="7" t="n">
        <f aca="false">AG226+AG227-AG229-AG230-AG231-AG232-AG233</f>
        <v>63165.9414846852</v>
      </c>
      <c r="AH234" s="7" t="n">
        <f aca="false">AH226+AH227-AH229-AH230-AH231-AH232-AH233</f>
        <v>72065.1508480588</v>
      </c>
      <c r="AI234" s="7" t="n">
        <f aca="false">AI226+AI227-AI229-AI230-AI231-AI232-AI233</f>
        <v>82207.7650568525</v>
      </c>
      <c r="AJ234" s="7" t="n">
        <f aca="false">AJ226+AJ227-AJ229-AJ230-AJ231-AJ232-AJ233</f>
        <v>93767.9780689394</v>
      </c>
      <c r="AK234" s="7" t="n">
        <f aca="false">AK226+AK227-AK229-AK230-AK231-AK232-AK233</f>
        <v>106944.365091103</v>
      </c>
      <c r="AL234" s="7" t="n">
        <f aca="false">AL226+AL227-AL229-AL230-AL231-AL232-AL233</f>
        <v>121963.296270486</v>
      </c>
      <c r="AM234" s="7" t="n">
        <f aca="false">AM226+AM227-AM229-AM230-AM231-AM232-AM233</f>
        <v>139082.828284868</v>
      </c>
      <c r="AN234" s="7" t="n">
        <f aca="false">AN226+AN227-AN229-AN230-AN231-AN232-AN233</f>
        <v>155847.30412258</v>
      </c>
      <c r="AO234" s="7" t="n">
        <f aca="false">AO226+AO227-AO229-AO230-AO231-AO232-AO233</f>
        <v>171811.12982145</v>
      </c>
      <c r="AP234" s="7" t="n">
        <f aca="false">AP226+AP227-AP229-AP230-AP231-AP232-AP233</f>
        <v>187011.010869113</v>
      </c>
      <c r="AQ234" s="7" t="n">
        <f aca="false">AQ226+AQ227-AQ229-AQ230-AQ231-AQ232-AQ233</f>
        <v>201486.036033896</v>
      </c>
      <c r="AR234" s="7" t="n">
        <f aca="false">AR226+AR227-AR229-AR230-AR231-AR232-AR233</f>
        <v>215273.162130202</v>
      </c>
      <c r="AS234" s="7" t="n">
        <f aca="false">AS226+AS227-AS229-AS230-AS231-AS232-AS233</f>
        <v>228407.337071074</v>
      </c>
      <c r="AT234" s="7" t="n">
        <f aca="false">AT226+AT227-AT229-AT230-AT231-AT232-AT233</f>
        <v>240921.615475274</v>
      </c>
      <c r="AU234" s="7" t="n">
        <f aca="false">AU226+AU227-AU229-AU230-AU231-AU232-AU233</f>
        <v>252847.267296608</v>
      </c>
      <c r="AV234" s="7" t="n">
        <f aca="false">AV226+AV227-AV229-AV230-AV231-AV232-AV233</f>
        <v>264213.879912945</v>
      </c>
      <c r="AW234" s="7" t="n">
        <f aca="false">AW226+AW227-AW229-AW230-AW231-AW232-AW233</f>
        <v>275049.454084166</v>
      </c>
      <c r="AX234" s="7" t="n">
        <f aca="false">AX226+AX227-AX229-AX230-AX231-AX232-AX233</f>
        <v>285380.494161902</v>
      </c>
      <c r="AY234" s="7" t="n">
        <f aca="false">AY226+AY227-AY229-AY230-AY231-AY232-AY233</f>
        <v>295232.092909263</v>
      </c>
      <c r="AZ234" s="7" t="n">
        <f aca="false">AZ226+AZ227-AZ229-AZ230-AZ231-AZ232-AZ233</f>
        <v>304628.011265759</v>
      </c>
      <c r="BA234" s="7" t="n">
        <f aca="false">BA226+BA227-BA229-BA230-BA231-BA232-BA233</f>
        <v>313590.753371114</v>
      </c>
      <c r="BB234" s="7" t="n">
        <f aca="false">BB226+BB227-BB229-BB230-BB231-BB232-BB233</f>
        <v>322141.637141554</v>
      </c>
      <c r="BC234" s="7" t="n">
        <f aca="false">BC226+BC227-BC229-BC230-BC231-BC232-BC233</f>
        <v>330300.860673428</v>
      </c>
      <c r="BD234" s="7" t="n">
        <f aca="false">BD226+BD227-BD229-BD230-BD231-BD232-BD233</f>
        <v>338087.56473142</v>
      </c>
      <c r="BE234" s="7" t="n">
        <f aca="false">BE226+BE227-BE229-BE230-BE231-BE232-BE233</f>
        <v>345519.891562264</v>
      </c>
      <c r="BF234" s="7" t="n">
        <f aca="false">BF226+BF227-BF229-BF230-BF231-BF232-BF233</f>
        <v>352615.040259516</v>
      </c>
      <c r="BG234" s="7" t="n">
        <f aca="false">BG226+BG227-BG229-BG230-BG231-BG232-BG233</f>
        <v>359389.318890633</v>
      </c>
      <c r="BH234" s="7" t="n">
        <f aca="false">BH226+BH227-BH229-BH230-BH231-BH232-BH233</f>
        <v>365858.193584208</v>
      </c>
      <c r="BI234" s="7" t="n">
        <f aca="false">BI226+BI227-BI229-BI230-BI231-BI232-BI233</f>
        <v>372036.334762696</v>
      </c>
      <c r="BJ234" s="7" t="n">
        <f aca="false">BJ226+BJ227-BJ229-BJ230-BJ231-BJ232-BJ233</f>
        <v>377937.660694258</v>
      </c>
      <c r="BK234" s="7" t="n">
        <f aca="false">BK226+BK227-BK229-BK230-BK231-BK232-BK233</f>
        <v>383575.378526406</v>
      </c>
    </row>
    <row r="235" customFormat="false" ht="15" hidden="false" customHeight="false" outlineLevel="0" collapsed="false">
      <c r="A235" s="0" t="s">
        <v>210</v>
      </c>
      <c r="D235" s="31" t="n">
        <f aca="false">IF((D226+D227)&gt;0,D234/(D226+D227),0)</f>
        <v>0.881417895872041</v>
      </c>
      <c r="E235" s="31" t="n">
        <f aca="false">IF((E226+E227)&gt;0,E234/(E226+E227),0)</f>
        <v>0.881741169206068</v>
      </c>
      <c r="F235" s="31" t="n">
        <f aca="false">IF((F226+F227)&gt;0,F234/(F226+F227),0)</f>
        <v>0.881823508936671</v>
      </c>
      <c r="G235" s="31" t="n">
        <f aca="false">IF((G226+G227)&gt;0,G234/(G226+G227),0)</f>
        <v>0.881848154989364</v>
      </c>
      <c r="H235" s="31" t="n">
        <f aca="false">IF((H226+H227)&gt;0,H234/(H226+H227),0)</f>
        <v>0.881851410750822</v>
      </c>
      <c r="I235" s="31" t="n">
        <f aca="false">IF((I226+I227)&gt;0,I234/(I226+I227),0)</f>
        <v>0.88184525960042</v>
      </c>
      <c r="J235" s="31" t="n">
        <f aca="false">IF((J226+J227)&gt;0,J234/(J226+J227),0)</f>
        <v>0.881834752193951</v>
      </c>
      <c r="K235" s="31" t="n">
        <f aca="false">IF((K226+K227)&gt;0,K234/(K226+K227),0)</f>
        <v>0.881822340596342</v>
      </c>
      <c r="L235" s="31" t="n">
        <f aca="false">IF((L226+L227)&gt;0,L234/(L226+L227),0)</f>
        <v>0.881809321555501</v>
      </c>
      <c r="M235" s="31" t="n">
        <f aca="false">IF((M226+M227)&gt;0,M234/(M226+M227),0)</f>
        <v>0.881796414233418</v>
      </c>
      <c r="N235" s="31" t="n">
        <f aca="false">IF((N226+N227)&gt;0,N234/(N226+N227),0)</f>
        <v>0.881784023547181</v>
      </c>
      <c r="O235" s="31" t="n">
        <f aca="false">IF((O226+O227)&gt;0,O234/(O226+O227),0)</f>
        <v>0.88177237254315</v>
      </c>
      <c r="P235" s="31" t="n">
        <f aca="false">IF((P226+P227)&gt;0,P234/(P226+P227),0)</f>
        <v>0.881761574258635</v>
      </c>
      <c r="Q235" s="31" t="n">
        <f aca="false">IF((Q226+Q227)&gt;0,Q234/(Q226+Q227),0)</f>
        <v>0.881751673231937</v>
      </c>
      <c r="R235" s="31" t="n">
        <f aca="false">IF((R226+R227)&gt;0,R234/(R226+R227),0)</f>
        <v>0.881742670724557</v>
      </c>
      <c r="S235" s="31" t="n">
        <f aca="false">IF((S226+S227)&gt;0,S234/(S226+S227),0)</f>
        <v>0.881734540686928</v>
      </c>
      <c r="T235" s="31" t="n">
        <f aca="false">IF((T226+T227)&gt;0,T234/(T226+T227),0)</f>
        <v>0.881727240195376</v>
      </c>
      <c r="U235" s="31" t="n">
        <f aca="false">IF((U226+U227)&gt;0,U234/(U226+U227),0)</f>
        <v>0.881720716439553</v>
      </c>
      <c r="V235" s="31" t="n">
        <f aca="false">IF((V226+V227)&gt;0,V234/(V226+V227),0)</f>
        <v>0.881714911473858</v>
      </c>
      <c r="W235" s="31" t="n">
        <f aca="false">IF((W226+W227)&gt;0,W234/(W226+W227),0)</f>
        <v>0.881709765471023</v>
      </c>
      <c r="X235" s="31" t="n">
        <f aca="false">IF((X226+X227)&gt;0,X234/(X226+X227),0)</f>
        <v>0.88170521894446</v>
      </c>
      <c r="Y235" s="31" t="n">
        <f aca="false">IF((Y226+Y227)&gt;0,Y234/(Y226+Y227),0)</f>
        <v>0.881701214245014</v>
      </c>
      <c r="Z235" s="31" t="n">
        <f aca="false">IF((Z226+Z227)&gt;0,Z234/(Z226+Z227),0)</f>
        <v>0.881697696539026</v>
      </c>
      <c r="AA235" s="31" t="n">
        <f aca="false">IF((AA226+AA227)&gt;0,AA234/(AA226+AA227),0)</f>
        <v>0.881694614411933</v>
      </c>
      <c r="AB235" s="31" t="n">
        <f aca="false">IF((AB226+AB227)&gt;0,AB234/(AB226+AB227),0)</f>
        <v>0.881691920200505</v>
      </c>
      <c r="AC235" s="31" t="n">
        <f aca="false">IF((AC226+AC227)&gt;0,AC234/(AC226+AC227),0)</f>
        <v>0.881689570128975</v>
      </c>
      <c r="AD235" s="31" t="n">
        <f aca="false">IF((AD226+AD227)&gt;0,AD234/(AD226+AD227),0)</f>
        <v>0.881687524304869</v>
      </c>
      <c r="AE235" s="31" t="n">
        <f aca="false">IF((AE226+AE227)&gt;0,AE234/(AE226+AE227),0)</f>
        <v>0.881685746616316</v>
      </c>
      <c r="AF235" s="31" t="n">
        <f aca="false">IF((AF226+AF227)&gt;0,AF234/(AF226+AF227),0)</f>
        <v>0.881684204562378</v>
      </c>
      <c r="AG235" s="31" t="n">
        <f aca="false">IF((AG226+AG227)&gt;0,AG234/(AG226+AG227),0)</f>
        <v>0.881682869040156</v>
      </c>
      <c r="AH235" s="31" t="n">
        <f aca="false">IF((AH226+AH227)&gt;0,AH234/(AH226+AH227),0)</f>
        <v>0.881681714106562</v>
      </c>
      <c r="AI235" s="31" t="n">
        <f aca="false">IF((AI226+AI227)&gt;0,AI234/(AI226+AI227),0)</f>
        <v>0.881680716728083</v>
      </c>
      <c r="AJ235" s="31" t="n">
        <f aca="false">IF((AJ226+AJ227)&gt;0,AJ234/(AJ226+AJ227),0)</f>
        <v>0.881679856528314</v>
      </c>
      <c r="AK235" s="31" t="n">
        <f aca="false">IF((AK226+AK227)&gt;0,AK234/(AK226+AK227),0)</f>
        <v>0.881679115540338</v>
      </c>
      <c r="AL235" s="31" t="n">
        <f aca="false">IF((AL226+AL227)&gt;0,AL234/(AL226+AL227),0)</f>
        <v>0.881678477968854</v>
      </c>
      <c r="AM235" s="31" t="n">
        <f aca="false">IF((AM226+AM227)&gt;0,AM234/(AM226+AM227),0)</f>
        <v>0.881677929965328</v>
      </c>
      <c r="AN235" s="31" t="n">
        <f aca="false">IF((AN226+AN227)&gt;0,AN234/(AN226+AN227),0)</f>
        <v>0.881682040641107</v>
      </c>
      <c r="AO235" s="31" t="n">
        <f aca="false">IF((AO226+AO227)&gt;0,AO234/(AO226+AO227),0)</f>
        <v>0.881679808426776</v>
      </c>
      <c r="AP235" s="31" t="n">
        <f aca="false">IF((AP226+AP227)&gt;0,AP234/(AP226+AP227),0)</f>
        <v>0.881671715768399</v>
      </c>
      <c r="AQ235" s="31" t="n">
        <f aca="false">IF((AQ226+AQ227)&gt;0,AQ234/(AQ226+AQ227),0)</f>
        <v>0.881659656487046</v>
      </c>
      <c r="AR235" s="31" t="n">
        <f aca="false">IF((AR226+AR227)&gt;0,AR234/(AR226+AR227),0)</f>
        <v>0.881644875351528</v>
      </c>
      <c r="AS235" s="31" t="n">
        <f aca="false">IF((AS226+AS227)&gt;0,AS234/(AS226+AS227),0)</f>
        <v>0.881628221583825</v>
      </c>
      <c r="AT235" s="31" t="n">
        <f aca="false">IF((AT226+AT227)&gt;0,AT234/(AT226+AT227),0)</f>
        <v>0.881610292172475</v>
      </c>
      <c r="AU235" s="31" t="n">
        <f aca="false">IF((AU226+AU227)&gt;0,AU234/(AU226+AU227),0)</f>
        <v>0.881591517104395</v>
      </c>
      <c r="AV235" s="31" t="n">
        <f aca="false">IF((AV226+AV227)&gt;0,AV234/(AV226+AV227),0)</f>
        <v>0.881572212243722</v>
      </c>
      <c r="AW235" s="31" t="n">
        <f aca="false">IF((AW226+AW227)&gt;0,AW234/(AW226+AW227),0)</f>
        <v>0.881552613335943</v>
      </c>
      <c r="AX235" s="31" t="n">
        <f aca="false">IF((AX226+AX227)&gt;0,AX234/(AX226+AX227),0)</f>
        <v>0.881532898558598</v>
      </c>
      <c r="AY235" s="31" t="n">
        <f aca="false">IF((AY226+AY227)&gt;0,AY234/(AY226+AY227),0)</f>
        <v>0.881513203882154</v>
      </c>
      <c r="AZ235" s="31" t="n">
        <f aca="false">IF((AZ226+AZ227)&gt;0,AZ234/(AZ226+AZ227),0)</f>
        <v>0.881493633782179</v>
      </c>
      <c r="BA235" s="31" t="n">
        <f aca="false">IF((BA226+BA227)&gt;0,BA234/(BA226+BA227),0)</f>
        <v>0.881474268866671</v>
      </c>
      <c r="BB235" s="31" t="n">
        <f aca="false">IF((BB226+BB227)&gt;0,BB234/(BB226+BB227),0)</f>
        <v>0.881455171408576</v>
      </c>
      <c r="BC235" s="31" t="n">
        <f aca="false">IF((BC226+BC227)&gt;0,BC234/(BC226+BC227),0)</f>
        <v>0.881436389426187</v>
      </c>
      <c r="BD235" s="31" t="n">
        <f aca="false">IF((BD226+BD227)&gt;0,BD234/(BD226+BD227),0)</f>
        <v>0.881417959738108</v>
      </c>
      <c r="BE235" s="31" t="n">
        <f aca="false">IF((BE226+BE227)&gt;0,BE234/(BE226+BE227),0)</f>
        <v>0.881399910281873</v>
      </c>
      <c r="BF235" s="31" t="n">
        <f aca="false">IF((BF226+BF227)&gt;0,BF234/(BF226+BF227),0)</f>
        <v>0.881382261895649</v>
      </c>
      <c r="BG235" s="31" t="n">
        <f aca="false">IF((BG226+BG227)&gt;0,BG234/(BG226+BG227),0)</f>
        <v>0.881365029702984</v>
      </c>
      <c r="BH235" s="31" t="n">
        <f aca="false">IF((BH226+BH227)&gt;0,BH234/(BH226+BH227),0)</f>
        <v>0.881348224200262</v>
      </c>
      <c r="BI235" s="31" t="n">
        <f aca="false">IF((BI226+BI227)&gt;0,BI234/(BI226+BI227),0)</f>
        <v>0.881331852118878</v>
      </c>
      <c r="BJ235" s="31" t="n">
        <f aca="false">IF((BJ226+BJ227)&gt;0,BJ234/(BJ226+BJ227),0)</f>
        <v>0.881315917114828</v>
      </c>
      <c r="BK235" s="31" t="n">
        <f aca="false">IF((BK226+BK227)&gt;0,BK234/(BK226+BK227),0)</f>
        <v>0.881300420324711</v>
      </c>
    </row>
    <row r="236" customFormat="false" ht="15" hidden="false" customHeight="false" outlineLevel="0" collapsed="false">
      <c r="A236" s="0" t="s">
        <v>211</v>
      </c>
      <c r="C236" s="0" t="n">
        <v>0</v>
      </c>
      <c r="D236" s="12" t="n">
        <f aca="false">C236*(1-$E$47)+MAX(0,D210-D211)</f>
        <v>81.84</v>
      </c>
      <c r="E236" s="12" t="n">
        <f aca="false">D236*(1-$E$47)+MAX(0,E210-E211)</f>
        <v>150.5856</v>
      </c>
      <c r="F236" s="12" t="n">
        <f aca="false">E236*(1-$E$47)+MAX(0,F210-F211)</f>
        <v>211.769184</v>
      </c>
      <c r="G236" s="12" t="n">
        <f aca="false">F236*(1-$E$47)+MAX(0,G210-G211)</f>
        <v>269.48798976</v>
      </c>
      <c r="H236" s="12" t="n">
        <f aca="false">G236*(1-$E$47)+MAX(0,H210-H211)</f>
        <v>326.8660923264</v>
      </c>
      <c r="I236" s="12" t="n">
        <f aca="false">H236*(1-$E$47)+MAX(0,I210-I211)</f>
        <v>386.382194052096</v>
      </c>
      <c r="J236" s="12" t="n">
        <f aca="false">I236*(1-$E$47)+MAX(0,J210-J211)</f>
        <v>450.10409537939</v>
      </c>
      <c r="K236" s="12" t="n">
        <f aca="false">J236*(1-$E$47)+MAX(0,K210-K211)</f>
        <v>519.858544644504</v>
      </c>
      <c r="L236" s="12" t="n">
        <f aca="false">K236*(1-$E$47)+MAX(0,L210-L211)</f>
        <v>597.356654033135</v>
      </c>
      <c r="M236" s="12" t="n">
        <f aca="false">L236*(1-$E$47)+MAX(0,M210-M211)</f>
        <v>684.289124794654</v>
      </c>
      <c r="N236" s="12" t="n">
        <f aca="false">M236*(1-$E$47)+MAX(0,N210-N211)</f>
        <v>782.401379703722</v>
      </c>
      <c r="O236" s="12" t="n">
        <f aca="false">N236*(1-$E$47)+MAX(0,O210-O211)</f>
        <v>893.555817068714</v>
      </c>
      <c r="P236" s="12" t="n">
        <f aca="false">O236*(1-$E$47)+MAX(0,P210-P211)</f>
        <v>1019.78640240286</v>
      </c>
      <c r="Q236" s="12" t="n">
        <f aca="false">P236*(1-$E$47)+MAX(0,Q210-Q211)</f>
        <v>1163.34943840044</v>
      </c>
      <c r="R236" s="12" t="n">
        <f aca="false">Q236*(1-$E$47)+MAX(0,R210-R211)</f>
        <v>1326.77341753932</v>
      </c>
      <c r="S236" s="12" t="n">
        <f aca="false">R236*(1-$E$47)+MAX(0,S210-S211)</f>
        <v>1512.91023642879</v>
      </c>
      <c r="T236" s="12" t="n">
        <f aca="false">S236*(1-$E$47)+MAX(0,T210-T211)</f>
        <v>1724.98964783261</v>
      </c>
      <c r="U236" s="12" t="n">
        <f aca="false">T236*(1-$E$47)+MAX(0,U210-U211)</f>
        <v>1966.67858334182</v>
      </c>
      <c r="V236" s="12" t="n">
        <f aca="false">U236*(1-$E$47)+MAX(0,V210-V211)</f>
        <v>2242.14685437853</v>
      </c>
      <c r="W236" s="12" t="n">
        <f aca="false">V236*(1-$E$47)+MAX(0,W210-W211)</f>
        <v>2556.14070254972</v>
      </c>
      <c r="X236" s="12" t="n">
        <f aca="false">W236*(1-$E$47)+MAX(0,X210-X211)</f>
        <v>2914.06570289742</v>
      </c>
      <c r="Y236" s="12" t="n">
        <f aca="false">X236*(1-$E$47)+MAX(0,Y210-Y211)</f>
        <v>3322.08061269657</v>
      </c>
      <c r="Z236" s="12" t="n">
        <f aca="false">Y236*(1-$E$47)+MAX(0,Z210-Z211)</f>
        <v>3787.20389644956</v>
      </c>
      <c r="AA236" s="12" t="n">
        <f aca="false">Z236*(1-$E$47)+MAX(0,AA210-AA211)</f>
        <v>4317.43484053532</v>
      </c>
      <c r="AB236" s="12" t="n">
        <f aca="false">AA236*(1-$E$47)+MAX(0,AB210-AB211)</f>
        <v>4921.89139721824</v>
      </c>
      <c r="AC236" s="12" t="n">
        <f aca="false">AB236*(1-$E$47)+MAX(0,AC210-AC211)</f>
        <v>5610.96716813438</v>
      </c>
      <c r="AD236" s="12" t="n">
        <f aca="false">AC236*(1-$E$47)+MAX(0,AD210-AD211)</f>
        <v>6396.5102543871</v>
      </c>
      <c r="AE236" s="12" t="n">
        <f aca="false">AD236*(1-$E$47)+MAX(0,AE210-AE211)</f>
        <v>7292.02706790103</v>
      </c>
      <c r="AF236" s="12" t="n">
        <f aca="false">AE236*(1-$E$47)+MAX(0,AF210-AF211)</f>
        <v>8312.91462193699</v>
      </c>
      <c r="AG236" s="12" t="n">
        <f aca="false">AF236*(1-$E$47)+MAX(0,AG210-AG211)</f>
        <v>9476.72530417904</v>
      </c>
      <c r="AH236" s="12" t="n">
        <f aca="false">AG236*(1-$E$47)+MAX(0,AH210-AH211)</f>
        <v>10803.4686913837</v>
      </c>
      <c r="AI236" s="12" t="n">
        <f aca="false">AH236*(1-$E$47)+MAX(0,AI210-AI211)</f>
        <v>12315.9555994112</v>
      </c>
      <c r="AJ236" s="12" t="n">
        <f aca="false">AI236*(1-$E$47)+MAX(0,AJ210-AJ211)</f>
        <v>14040.1902871923</v>
      </c>
      <c r="AK236" s="12" t="n">
        <f aca="false">AJ236*(1-$E$47)+MAX(0,AK210-AK211)</f>
        <v>16005.8175601038</v>
      </c>
      <c r="AL236" s="12" t="n">
        <f aca="false">AK236*(1-$E$47)+MAX(0,AL210-AL211)</f>
        <v>18246.6324614115</v>
      </c>
      <c r="AM236" s="12" t="n">
        <f aca="false">AL236*(1-$E$47)+MAX(0,AM210-AM211)</f>
        <v>20801.1613160343</v>
      </c>
      <c r="AN236" s="12" t="n">
        <f aca="false">AM236*(1-$E$47)+MAX(0,AN210-AN211)</f>
        <v>22744.812921224</v>
      </c>
      <c r="AO236" s="12" t="n">
        <f aca="false">AN236*(1-$E$47)+MAX(0,AO210-AO211)</f>
        <v>24105.3690448568</v>
      </c>
      <c r="AP236" s="12" t="n">
        <f aca="false">AO236*(1-$E$47)+MAX(0,AP210-AP211)</f>
        <v>25057.7583313998</v>
      </c>
      <c r="AQ236" s="12" t="n">
        <f aca="false">AP236*(1-$E$47)+MAX(0,AQ210-AQ211)</f>
        <v>25724.4308319798</v>
      </c>
      <c r="AR236" s="12" t="n">
        <f aca="false">AQ236*(1-$E$47)+MAX(0,AR210-AR211)</f>
        <v>26191.1015823859</v>
      </c>
      <c r="AS236" s="12" t="n">
        <f aca="false">AR236*(1-$E$47)+MAX(0,AS210-AS211)</f>
        <v>26517.7711076701</v>
      </c>
      <c r="AT236" s="12" t="n">
        <f aca="false">AS236*(1-$E$47)+MAX(0,AT210-AT211)</f>
        <v>26746.4397753691</v>
      </c>
      <c r="AU236" s="12" t="n">
        <f aca="false">AT236*(1-$E$47)+MAX(0,AU210-AU211)</f>
        <v>26906.5078427584</v>
      </c>
      <c r="AV236" s="12" t="n">
        <f aca="false">AU236*(1-$E$47)+MAX(0,AV210-AV211)</f>
        <v>27018.5554899308</v>
      </c>
      <c r="AW236" s="12" t="n">
        <f aca="false">AV236*(1-$E$47)+MAX(0,AW210-AW211)</f>
        <v>27096.9888429516</v>
      </c>
      <c r="AX236" s="12" t="n">
        <f aca="false">AW236*(1-$E$47)+MAX(0,AX210-AX211)</f>
        <v>27151.8921900661</v>
      </c>
      <c r="AY236" s="12" t="n">
        <f aca="false">AX236*(1-$E$47)+MAX(0,AY210-AY211)</f>
        <v>27190.3245330463</v>
      </c>
      <c r="AZ236" s="12" t="n">
        <f aca="false">AY236*(1-$E$47)+MAX(0,AZ210-AZ211)</f>
        <v>27217.2271731324</v>
      </c>
      <c r="BA236" s="12" t="n">
        <f aca="false">AZ236*(1-$E$47)+MAX(0,BA210-BA211)</f>
        <v>27236.0590211927</v>
      </c>
      <c r="BB236" s="12" t="n">
        <f aca="false">BA236*(1-$E$47)+MAX(0,BB210-BB211)</f>
        <v>27249.2413148349</v>
      </c>
      <c r="BC236" s="12" t="n">
        <f aca="false">BB236*(1-$E$47)+MAX(0,BC210-BC211)</f>
        <v>27258.4689203844</v>
      </c>
      <c r="BD236" s="12" t="n">
        <f aca="false">BC236*(1-$E$47)+MAX(0,BD210-BD211)</f>
        <v>27264.9282442691</v>
      </c>
      <c r="BE236" s="12" t="n">
        <f aca="false">BD236*(1-$E$47)+MAX(0,BE210-BE211)</f>
        <v>27269.4497709884</v>
      </c>
      <c r="BF236" s="12" t="n">
        <f aca="false">BE236*(1-$E$47)+MAX(0,BF210-BF211)</f>
        <v>27272.6148396918</v>
      </c>
      <c r="BG236" s="12" t="n">
        <f aca="false">BF236*(1-$E$47)+MAX(0,BG210-BG211)</f>
        <v>27274.8303877843</v>
      </c>
      <c r="BH236" s="12" t="n">
        <f aca="false">BG236*(1-$E$47)+MAX(0,BH210-BH211)</f>
        <v>27276.381271449</v>
      </c>
      <c r="BI236" s="12" t="n">
        <f aca="false">BH236*(1-$E$47)+MAX(0,BI210-BI211)</f>
        <v>27277.4668900143</v>
      </c>
      <c r="BJ236" s="12" t="n">
        <f aca="false">BI236*(1-$E$47)+MAX(0,BJ210-BJ211)</f>
        <v>27278.22682301</v>
      </c>
      <c r="BK236" s="12" t="n">
        <f aca="false">BJ236*(1-$E$47)+MAX(0,BK210-BK211)</f>
        <v>27278.758776107</v>
      </c>
    </row>
    <row r="237" customFormat="false" ht="15" hidden="false" customHeight="false" outlineLevel="0" collapsed="false">
      <c r="A237" s="0" t="s">
        <v>212</v>
      </c>
      <c r="D237" s="12" t="n">
        <f aca="false">D236*$E$48</f>
        <v>654.72</v>
      </c>
      <c r="E237" s="12" t="n">
        <f aca="false">E236*$E$48</f>
        <v>1204.6848</v>
      </c>
      <c r="F237" s="12" t="n">
        <f aca="false">F236*$E$48</f>
        <v>1694.153472</v>
      </c>
      <c r="G237" s="12" t="n">
        <f aca="false">G236*$E$48</f>
        <v>2155.90391808</v>
      </c>
      <c r="H237" s="12" t="n">
        <f aca="false">H236*$E$48</f>
        <v>2614.9287386112</v>
      </c>
      <c r="I237" s="12" t="n">
        <f aca="false">I236*$E$48</f>
        <v>3091.05755241677</v>
      </c>
      <c r="J237" s="12" t="n">
        <f aca="false">J236*$E$48</f>
        <v>3600.83276303512</v>
      </c>
      <c r="K237" s="12" t="n">
        <f aca="false">K236*$E$48</f>
        <v>4158.86835715603</v>
      </c>
      <c r="L237" s="12" t="n">
        <f aca="false">L236*$E$48</f>
        <v>4778.85323226508</v>
      </c>
      <c r="M237" s="12" t="n">
        <f aca="false">M236*$E$48</f>
        <v>5474.31299835723</v>
      </c>
      <c r="N237" s="12" t="n">
        <f aca="false">N236*$E$48</f>
        <v>6259.21103762977</v>
      </c>
      <c r="O237" s="12" t="n">
        <f aca="false">O236*$E$48</f>
        <v>7148.44653654971</v>
      </c>
      <c r="P237" s="12" t="n">
        <f aca="false">P236*$E$48</f>
        <v>8158.29121922291</v>
      </c>
      <c r="Q237" s="12" t="n">
        <f aca="false">Q236*$E$48</f>
        <v>9306.79550720349</v>
      </c>
      <c r="R237" s="12" t="n">
        <f aca="false">R236*$E$48</f>
        <v>10614.1873403145</v>
      </c>
      <c r="S237" s="12" t="n">
        <f aca="false">S236*$E$48</f>
        <v>12103.2818914304</v>
      </c>
      <c r="T237" s="12" t="n">
        <f aca="false">T236*$E$48</f>
        <v>13799.9171826609</v>
      </c>
      <c r="U237" s="12" t="n">
        <f aca="false">U236*$E$48</f>
        <v>15733.4286667346</v>
      </c>
      <c r="V237" s="12" t="n">
        <f aca="false">V236*$E$48</f>
        <v>17937.1748350282</v>
      </c>
      <c r="W237" s="12" t="n">
        <f aca="false">W236*$E$48</f>
        <v>20449.1256203978</v>
      </c>
      <c r="X237" s="12" t="n">
        <f aca="false">X236*$E$48</f>
        <v>23312.5256231793</v>
      </c>
      <c r="Y237" s="12" t="n">
        <f aca="false">Y236*$E$48</f>
        <v>26576.6449015726</v>
      </c>
      <c r="Z237" s="12" t="n">
        <f aca="false">Z236*$E$48</f>
        <v>30297.6311715965</v>
      </c>
      <c r="AA237" s="12" t="n">
        <f aca="false">AA236*$E$48</f>
        <v>34539.4787242826</v>
      </c>
      <c r="AB237" s="12" t="n">
        <f aca="false">AB236*$E$48</f>
        <v>39375.1311777459</v>
      </c>
      <c r="AC237" s="12" t="n">
        <f aca="false">AC236*$E$48</f>
        <v>44887.737345075</v>
      </c>
      <c r="AD237" s="12" t="n">
        <f aca="false">AD236*$E$48</f>
        <v>51172.0820350968</v>
      </c>
      <c r="AE237" s="12" t="n">
        <f aca="false">AE236*$E$48</f>
        <v>58336.2165432082</v>
      </c>
      <c r="AF237" s="12" t="n">
        <f aca="false">AF236*$E$48</f>
        <v>66503.3169754959</v>
      </c>
      <c r="AG237" s="12" t="n">
        <f aca="false">AG236*$E$48</f>
        <v>75813.8024334323</v>
      </c>
      <c r="AH237" s="12" t="n">
        <f aca="false">AH236*$E$48</f>
        <v>86427.7495310697</v>
      </c>
      <c r="AI237" s="12" t="n">
        <f aca="false">AI236*$E$48</f>
        <v>98527.6447952893</v>
      </c>
      <c r="AJ237" s="12" t="n">
        <f aca="false">AJ236*$E$48</f>
        <v>112321.522297539</v>
      </c>
      <c r="AK237" s="12" t="n">
        <f aca="false">AK236*$E$48</f>
        <v>128046.54048083</v>
      </c>
      <c r="AL237" s="12" t="n">
        <f aca="false">AL236*$E$48</f>
        <v>145973.059691292</v>
      </c>
      <c r="AM237" s="12" t="n">
        <f aca="false">AM236*$E$48</f>
        <v>166409.290528275</v>
      </c>
      <c r="AN237" s="12" t="n">
        <f aca="false">AN236*$E$48</f>
        <v>181958.503369792</v>
      </c>
      <c r="AO237" s="12" t="n">
        <f aca="false">AO236*$E$48</f>
        <v>192842.952358855</v>
      </c>
      <c r="AP237" s="12" t="n">
        <f aca="false">AP236*$E$48</f>
        <v>200462.066651198</v>
      </c>
      <c r="AQ237" s="12" t="n">
        <f aca="false">AQ236*$E$48</f>
        <v>205795.446655839</v>
      </c>
      <c r="AR237" s="12" t="n">
        <f aca="false">AR236*$E$48</f>
        <v>209528.812659087</v>
      </c>
      <c r="AS237" s="12" t="n">
        <f aca="false">AS236*$E$48</f>
        <v>212142.168861361</v>
      </c>
      <c r="AT237" s="12" t="n">
        <f aca="false">AT236*$E$48</f>
        <v>213971.518202953</v>
      </c>
      <c r="AU237" s="12" t="n">
        <f aca="false">AU236*$E$48</f>
        <v>215252.062742067</v>
      </c>
      <c r="AV237" s="12" t="n">
        <f aca="false">AV236*$E$48</f>
        <v>216148.443919447</v>
      </c>
      <c r="AW237" s="12" t="n">
        <f aca="false">AW236*$E$48</f>
        <v>216775.910743613</v>
      </c>
      <c r="AX237" s="12" t="n">
        <f aca="false">AX236*$E$48</f>
        <v>217215.137520529</v>
      </c>
      <c r="AY237" s="12" t="n">
        <f aca="false">AY236*$E$48</f>
        <v>217522.59626437</v>
      </c>
      <c r="AZ237" s="12" t="n">
        <f aca="false">AZ236*$E$48</f>
        <v>217737.817385059</v>
      </c>
      <c r="BA237" s="12" t="n">
        <f aca="false">BA236*$E$48</f>
        <v>217888.472169541</v>
      </c>
      <c r="BB237" s="12" t="n">
        <f aca="false">BB236*$E$48</f>
        <v>217993.930518679</v>
      </c>
      <c r="BC237" s="12" t="n">
        <f aca="false">BC236*$E$48</f>
        <v>218067.751363075</v>
      </c>
      <c r="BD237" s="12" t="n">
        <f aca="false">BD236*$E$48</f>
        <v>218119.425954153</v>
      </c>
      <c r="BE237" s="12" t="n">
        <f aca="false">BE236*$E$48</f>
        <v>218155.598167907</v>
      </c>
      <c r="BF237" s="12" t="n">
        <f aca="false">BF236*$E$48</f>
        <v>218180.918717535</v>
      </c>
      <c r="BG237" s="12" t="n">
        <f aca="false">BG236*$E$48</f>
        <v>218198.643102274</v>
      </c>
      <c r="BH237" s="12" t="n">
        <f aca="false">BH236*$E$48</f>
        <v>218211.050171592</v>
      </c>
      <c r="BI237" s="12" t="n">
        <f aca="false">BI236*$E$48</f>
        <v>218219.735120114</v>
      </c>
      <c r="BJ237" s="12" t="n">
        <f aca="false">BJ236*$E$48</f>
        <v>218225.81458408</v>
      </c>
      <c r="BK237" s="12" t="n">
        <f aca="false">BK236*$E$48</f>
        <v>218230.070208856</v>
      </c>
    </row>
    <row r="238" customFormat="false" ht="15" hidden="false" customHeight="false" outlineLevel="0" collapsed="false">
      <c r="A238" s="0" t="s">
        <v>213</v>
      </c>
      <c r="D238" s="12" t="n">
        <f aca="false">$E$49*30</f>
        <v>4615.38461538462</v>
      </c>
      <c r="E238" s="12" t="n">
        <f aca="false">$E$49*30</f>
        <v>4615.38461538462</v>
      </c>
      <c r="F238" s="12" t="n">
        <f aca="false">$E$49*30</f>
        <v>4615.38461538462</v>
      </c>
      <c r="G238" s="12" t="n">
        <f aca="false">$E$49*30</f>
        <v>4615.38461538462</v>
      </c>
      <c r="H238" s="12" t="n">
        <f aca="false">$E$49*30</f>
        <v>4615.38461538462</v>
      </c>
      <c r="I238" s="12" t="n">
        <f aca="false">$E$49*30</f>
        <v>4615.38461538462</v>
      </c>
      <c r="J238" s="12" t="n">
        <f aca="false">$E$49*30</f>
        <v>4615.38461538462</v>
      </c>
      <c r="K238" s="12" t="n">
        <f aca="false">$E$49*30</f>
        <v>4615.38461538462</v>
      </c>
      <c r="L238" s="12" t="n">
        <f aca="false">$E$49*30</f>
        <v>4615.38461538462</v>
      </c>
      <c r="M238" s="12" t="n">
        <f aca="false">$E$49*30</f>
        <v>4615.38461538462</v>
      </c>
      <c r="N238" s="12" t="n">
        <f aca="false">$E$49*30</f>
        <v>4615.38461538462</v>
      </c>
      <c r="O238" s="12" t="n">
        <f aca="false">$E$49*30</f>
        <v>4615.38461538462</v>
      </c>
      <c r="P238" s="12" t="n">
        <f aca="false">$E$49*30</f>
        <v>4615.38461538462</v>
      </c>
      <c r="Q238" s="12" t="n">
        <f aca="false">$E$49*30</f>
        <v>4615.38461538462</v>
      </c>
      <c r="R238" s="12" t="n">
        <f aca="false">$E$49*30</f>
        <v>4615.38461538462</v>
      </c>
      <c r="S238" s="12" t="n">
        <f aca="false">$E$49*30</f>
        <v>4615.38461538462</v>
      </c>
      <c r="T238" s="12" t="n">
        <f aca="false">$E$49*30</f>
        <v>4615.38461538462</v>
      </c>
      <c r="U238" s="12" t="n">
        <f aca="false">$E$49*30</f>
        <v>4615.38461538462</v>
      </c>
      <c r="V238" s="12" t="n">
        <f aca="false">$E$49*30</f>
        <v>4615.38461538462</v>
      </c>
      <c r="W238" s="12" t="n">
        <f aca="false">$E$49*30</f>
        <v>4615.38461538462</v>
      </c>
      <c r="X238" s="12" t="n">
        <f aca="false">$E$49*30</f>
        <v>4615.38461538462</v>
      </c>
      <c r="Y238" s="12" t="n">
        <f aca="false">$E$49*30</f>
        <v>4615.38461538462</v>
      </c>
      <c r="Z238" s="12" t="n">
        <f aca="false">$E$49*30</f>
        <v>4615.38461538462</v>
      </c>
      <c r="AA238" s="12" t="n">
        <f aca="false">$E$49*30</f>
        <v>4615.38461538462</v>
      </c>
      <c r="AB238" s="12" t="n">
        <f aca="false">$E$49*30</f>
        <v>4615.38461538462</v>
      </c>
      <c r="AC238" s="12" t="n">
        <f aca="false">$E$49*30</f>
        <v>4615.38461538462</v>
      </c>
      <c r="AD238" s="12" t="n">
        <f aca="false">$E$49*30</f>
        <v>4615.38461538462</v>
      </c>
      <c r="AE238" s="12" t="n">
        <f aca="false">$E$49*30</f>
        <v>4615.38461538462</v>
      </c>
      <c r="AF238" s="12" t="n">
        <f aca="false">$E$49*30</f>
        <v>4615.38461538462</v>
      </c>
      <c r="AG238" s="12" t="n">
        <f aca="false">$E$49*30</f>
        <v>4615.38461538462</v>
      </c>
      <c r="AH238" s="12" t="n">
        <f aca="false">$E$49*30</f>
        <v>4615.38461538462</v>
      </c>
      <c r="AI238" s="12" t="n">
        <f aca="false">$E$49*30</f>
        <v>4615.38461538462</v>
      </c>
      <c r="AJ238" s="12" t="n">
        <f aca="false">$E$49*30</f>
        <v>4615.38461538462</v>
      </c>
      <c r="AK238" s="12" t="n">
        <f aca="false">$E$49*30</f>
        <v>4615.38461538462</v>
      </c>
      <c r="AL238" s="12" t="n">
        <f aca="false">$E$49*30</f>
        <v>4615.38461538462</v>
      </c>
      <c r="AM238" s="12" t="n">
        <f aca="false">$E$49*30</f>
        <v>4615.38461538462</v>
      </c>
      <c r="AN238" s="12" t="n">
        <f aca="false">$E$49*30</f>
        <v>4615.38461538462</v>
      </c>
      <c r="AO238" s="12" t="n">
        <f aca="false">$E$49*30</f>
        <v>4615.38461538462</v>
      </c>
      <c r="AP238" s="12" t="n">
        <f aca="false">$E$49*30</f>
        <v>4615.38461538462</v>
      </c>
      <c r="AQ238" s="12" t="n">
        <f aca="false">$E$49*30</f>
        <v>4615.38461538462</v>
      </c>
      <c r="AR238" s="12" t="n">
        <f aca="false">$E$49*30</f>
        <v>4615.38461538462</v>
      </c>
      <c r="AS238" s="12" t="n">
        <f aca="false">$E$49*30</f>
        <v>4615.38461538462</v>
      </c>
      <c r="AT238" s="12" t="n">
        <f aca="false">$E$49*30</f>
        <v>4615.38461538462</v>
      </c>
      <c r="AU238" s="12" t="n">
        <f aca="false">$E$49*30</f>
        <v>4615.38461538462</v>
      </c>
      <c r="AV238" s="12" t="n">
        <f aca="false">$E$49*30</f>
        <v>4615.38461538462</v>
      </c>
      <c r="AW238" s="12" t="n">
        <f aca="false">$E$49*30</f>
        <v>4615.38461538462</v>
      </c>
      <c r="AX238" s="12" t="n">
        <f aca="false">$E$49*30</f>
        <v>4615.38461538462</v>
      </c>
      <c r="AY238" s="12" t="n">
        <f aca="false">$E$49*30</f>
        <v>4615.38461538462</v>
      </c>
      <c r="AZ238" s="12" t="n">
        <f aca="false">$E$49*30</f>
        <v>4615.38461538462</v>
      </c>
      <c r="BA238" s="12" t="n">
        <f aca="false">$E$49*30</f>
        <v>4615.38461538462</v>
      </c>
      <c r="BB238" s="12" t="n">
        <f aca="false">$E$49*30</f>
        <v>4615.38461538462</v>
      </c>
      <c r="BC238" s="12" t="n">
        <f aca="false">$E$49*30</f>
        <v>4615.38461538462</v>
      </c>
      <c r="BD238" s="12" t="n">
        <f aca="false">$E$49*30</f>
        <v>4615.38461538462</v>
      </c>
      <c r="BE238" s="12" t="n">
        <f aca="false">$E$49*30</f>
        <v>4615.38461538462</v>
      </c>
      <c r="BF238" s="12" t="n">
        <f aca="false">$E$49*30</f>
        <v>4615.38461538462</v>
      </c>
      <c r="BG238" s="12" t="n">
        <f aca="false">$E$49*30</f>
        <v>4615.38461538462</v>
      </c>
      <c r="BH238" s="12" t="n">
        <f aca="false">$E$49*30</f>
        <v>4615.38461538462</v>
      </c>
      <c r="BI238" s="12" t="n">
        <f aca="false">$E$49*30</f>
        <v>4615.38461538462</v>
      </c>
      <c r="BJ238" s="12" t="n">
        <f aca="false">$E$49*30</f>
        <v>4615.38461538462</v>
      </c>
      <c r="BK238" s="12" t="n">
        <f aca="false">$E$49*30</f>
        <v>4615.38461538462</v>
      </c>
    </row>
    <row r="239" customFormat="false" ht="15" hidden="false" customHeight="false" outlineLevel="0" collapsed="false">
      <c r="A239" s="0" t="s">
        <v>214</v>
      </c>
      <c r="D239" s="31" t="n">
        <f aca="false">D237/D238</f>
        <v>0.141856</v>
      </c>
      <c r="E239" s="31" t="n">
        <f aca="false">E237/E238</f>
        <v>0.26101504</v>
      </c>
      <c r="F239" s="31" t="n">
        <f aca="false">F237/F238</f>
        <v>0.3670665856</v>
      </c>
      <c r="G239" s="31" t="n">
        <f aca="false">G237/G238</f>
        <v>0.467112515584</v>
      </c>
      <c r="H239" s="31" t="n">
        <f aca="false">H237/H238</f>
        <v>0.56656789336576</v>
      </c>
      <c r="I239" s="31" t="n">
        <f aca="false">I237/I238</f>
        <v>0.669729136356967</v>
      </c>
      <c r="J239" s="31" t="n">
        <f aca="false">J237/J238</f>
        <v>0.780180431990942</v>
      </c>
      <c r="K239" s="31" t="n">
        <f aca="false">K237/K238</f>
        <v>0.901088144050474</v>
      </c>
      <c r="L239" s="31" t="n">
        <f aca="false">L237/L238</f>
        <v>1.0354182003241</v>
      </c>
      <c r="M239" s="31" t="n">
        <f aca="false">M237/M238</f>
        <v>1.18610114964407</v>
      </c>
      <c r="N239" s="31" t="n">
        <f aca="false">N237/N238</f>
        <v>1.35616239148645</v>
      </c>
      <c r="O239" s="31" t="n">
        <f aca="false">O237/O238</f>
        <v>1.5488300829191</v>
      </c>
      <c r="P239" s="31" t="n">
        <f aca="false">P237/P238</f>
        <v>1.76762976416496</v>
      </c>
      <c r="Q239" s="31" t="n">
        <f aca="false">Q237/Q238</f>
        <v>2.01647235989409</v>
      </c>
      <c r="R239" s="31" t="n">
        <f aca="false">R237/R238</f>
        <v>2.29974059040148</v>
      </c>
      <c r="S239" s="31" t="n">
        <f aca="false">S237/S238</f>
        <v>2.62237774314324</v>
      </c>
      <c r="T239" s="31" t="n">
        <f aca="false">T237/T238</f>
        <v>2.98998205624319</v>
      </c>
      <c r="U239" s="31" t="n">
        <f aca="false">U237/U238</f>
        <v>3.40890954445916</v>
      </c>
      <c r="V239" s="31" t="n">
        <f aca="false">V237/V238</f>
        <v>3.88638788092278</v>
      </c>
      <c r="W239" s="31" t="n">
        <f aca="false">W237/W238</f>
        <v>4.43064388441951</v>
      </c>
      <c r="X239" s="31" t="n">
        <f aca="false">X237/X238</f>
        <v>5.05104721835553</v>
      </c>
      <c r="Y239" s="31" t="n">
        <f aca="false">Y237/Y238</f>
        <v>5.7582730620074</v>
      </c>
      <c r="Z239" s="31" t="n">
        <f aca="false">Z237/Z238</f>
        <v>6.5644867538459</v>
      </c>
      <c r="AA239" s="31" t="n">
        <f aca="false">AA237/AA238</f>
        <v>7.48355372359455</v>
      </c>
      <c r="AB239" s="31" t="n">
        <f aca="false">AB237/AB238</f>
        <v>8.53127842184495</v>
      </c>
      <c r="AC239" s="31" t="n">
        <f aca="false">AC237/AC238</f>
        <v>9.72567642476625</v>
      </c>
      <c r="AD239" s="31" t="n">
        <f aca="false">AD237/AD238</f>
        <v>11.0872844409376</v>
      </c>
      <c r="AE239" s="31" t="n">
        <f aca="false">AE237/AE238</f>
        <v>12.6395135843618</v>
      </c>
      <c r="AF239" s="31" t="n">
        <f aca="false">AF237/AF238</f>
        <v>14.4090520113574</v>
      </c>
      <c r="AG239" s="31" t="n">
        <f aca="false">AG237/AG238</f>
        <v>16.426323860577</v>
      </c>
      <c r="AH239" s="31" t="n">
        <f aca="false">AH237/AH238</f>
        <v>18.7260123983984</v>
      </c>
      <c r="AI239" s="31" t="n">
        <f aca="false">AI237/AI238</f>
        <v>21.3476563723127</v>
      </c>
      <c r="AJ239" s="31" t="n">
        <f aca="false">AJ237/AJ238</f>
        <v>24.3363298311334</v>
      </c>
      <c r="AK239" s="31" t="n">
        <f aca="false">AK237/AK238</f>
        <v>27.7434171041799</v>
      </c>
      <c r="AL239" s="31" t="n">
        <f aca="false">AL237/AL238</f>
        <v>31.6274962664466</v>
      </c>
      <c r="AM239" s="31" t="n">
        <f aca="false">AM237/AM238</f>
        <v>36.0553462811262</v>
      </c>
      <c r="AN239" s="31" t="n">
        <f aca="false">AN237/AN238</f>
        <v>39.4243423967883</v>
      </c>
      <c r="AO239" s="31" t="n">
        <f aca="false">AO237/AO238</f>
        <v>41.7826396777518</v>
      </c>
      <c r="AP239" s="31" t="n">
        <f aca="false">AP237/AP238</f>
        <v>43.4334477744263</v>
      </c>
      <c r="AQ239" s="31" t="n">
        <f aca="false">AQ237/AQ238</f>
        <v>44.5890134420984</v>
      </c>
      <c r="AR239" s="31" t="n">
        <f aca="false">AR237/AR238</f>
        <v>45.3979094094689</v>
      </c>
      <c r="AS239" s="31" t="n">
        <f aca="false">AS237/AS238</f>
        <v>45.9641365866282</v>
      </c>
      <c r="AT239" s="31" t="n">
        <f aca="false">AT237/AT238</f>
        <v>46.3604956106397</v>
      </c>
      <c r="AU239" s="31" t="n">
        <f aca="false">AU237/AU238</f>
        <v>46.6379469274478</v>
      </c>
      <c r="AV239" s="31" t="n">
        <f aca="false">AV237/AV238</f>
        <v>46.8321628492135</v>
      </c>
      <c r="AW239" s="31" t="n">
        <f aca="false">AW237/AW238</f>
        <v>46.9681139944494</v>
      </c>
      <c r="AX239" s="31" t="n">
        <f aca="false">AX237/AX238</f>
        <v>47.0632797961146</v>
      </c>
      <c r="AY239" s="31" t="n">
        <f aca="false">AY237/AY238</f>
        <v>47.1298958572802</v>
      </c>
      <c r="AZ239" s="31" t="n">
        <f aca="false">AZ237/AZ238</f>
        <v>47.1765271000962</v>
      </c>
      <c r="BA239" s="31" t="n">
        <f aca="false">BA237/BA238</f>
        <v>47.2091689700673</v>
      </c>
      <c r="BB239" s="31" t="n">
        <f aca="false">BB237/BB238</f>
        <v>47.2320182790471</v>
      </c>
      <c r="BC239" s="31" t="n">
        <f aca="false">BC237/BC238</f>
        <v>47.248012795333</v>
      </c>
      <c r="BD239" s="31" t="n">
        <f aca="false">BD237/BD238</f>
        <v>47.2592089567331</v>
      </c>
      <c r="BE239" s="31" t="n">
        <f aca="false">BE237/BE238</f>
        <v>47.2670462697132</v>
      </c>
      <c r="BF239" s="31" t="n">
        <f aca="false">BF237/BF238</f>
        <v>47.2725323887992</v>
      </c>
      <c r="BG239" s="31" t="n">
        <f aca="false">BG237/BG238</f>
        <v>47.2763726721594</v>
      </c>
      <c r="BH239" s="31" t="n">
        <f aca="false">BH237/BH238</f>
        <v>47.2790608705116</v>
      </c>
      <c r="BI239" s="31" t="n">
        <f aca="false">BI237/BI238</f>
        <v>47.2809426093581</v>
      </c>
      <c r="BJ239" s="31" t="n">
        <f aca="false">BJ237/BJ238</f>
        <v>47.2822598265507</v>
      </c>
      <c r="BK239" s="31" t="n">
        <f aca="false">BK237/BK238</f>
        <v>47.2831818785855</v>
      </c>
    </row>
    <row r="240" customFormat="false" ht="15" hidden="false" customHeight="false" outlineLevel="0" collapsed="false">
      <c r="A240" s="0" t="s">
        <v>215</v>
      </c>
      <c r="D240" s="12" t="n">
        <f aca="false">MAX(0,D237-D238)</f>
        <v>0</v>
      </c>
      <c r="E240" s="12" t="n">
        <f aca="false">MAX(0,E237-E238)</f>
        <v>0</v>
      </c>
      <c r="F240" s="12" t="n">
        <f aca="false">MAX(0,F237-F238)</f>
        <v>0</v>
      </c>
      <c r="G240" s="12" t="n">
        <f aca="false">MAX(0,G237-G238)</f>
        <v>0</v>
      </c>
      <c r="H240" s="12" t="n">
        <f aca="false">MAX(0,H237-H238)</f>
        <v>0</v>
      </c>
      <c r="I240" s="12" t="n">
        <f aca="false">MAX(0,I237-I238)</f>
        <v>0</v>
      </c>
      <c r="J240" s="12" t="n">
        <f aca="false">MAX(0,J237-J238)</f>
        <v>0</v>
      </c>
      <c r="K240" s="12" t="n">
        <f aca="false">MAX(0,K237-K238)</f>
        <v>0</v>
      </c>
      <c r="L240" s="12" t="n">
        <f aca="false">MAX(0,L237-L238)</f>
        <v>163.468616880464</v>
      </c>
      <c r="M240" s="12" t="n">
        <f aca="false">MAX(0,M237-M238)</f>
        <v>858.928382972616</v>
      </c>
      <c r="N240" s="12" t="n">
        <f aca="false">MAX(0,N237-N238)</f>
        <v>1643.82642224516</v>
      </c>
      <c r="O240" s="12" t="n">
        <f aca="false">MAX(0,O237-O238)</f>
        <v>2533.0619211651</v>
      </c>
      <c r="P240" s="12" t="n">
        <f aca="false">MAX(0,P237-P238)</f>
        <v>3542.90660383829</v>
      </c>
      <c r="Q240" s="12" t="n">
        <f aca="false">MAX(0,Q237-Q238)</f>
        <v>4691.41089181887</v>
      </c>
      <c r="R240" s="12" t="n">
        <f aca="false">MAX(0,R237-R238)</f>
        <v>5998.80272492992</v>
      </c>
      <c r="S240" s="12" t="n">
        <f aca="false">MAX(0,S237-S238)</f>
        <v>7487.89727604574</v>
      </c>
      <c r="T240" s="12" t="n">
        <f aca="false">MAX(0,T237-T238)</f>
        <v>9184.53256727625</v>
      </c>
      <c r="U240" s="12" t="n">
        <f aca="false">MAX(0,U237-U238)</f>
        <v>11118.0440513499</v>
      </c>
      <c r="V240" s="12" t="n">
        <f aca="false">MAX(0,V237-V238)</f>
        <v>13321.7902196436</v>
      </c>
      <c r="W240" s="12" t="n">
        <f aca="false">MAX(0,W237-W238)</f>
        <v>15833.7410050131</v>
      </c>
      <c r="X240" s="12" t="n">
        <f aca="false">MAX(0,X237-X238)</f>
        <v>18697.1410077947</v>
      </c>
      <c r="Y240" s="12" t="n">
        <f aca="false">MAX(0,Y237-Y238)</f>
        <v>21961.260286188</v>
      </c>
      <c r="Z240" s="12" t="n">
        <f aca="false">MAX(0,Z237-Z238)</f>
        <v>25682.2465562118</v>
      </c>
      <c r="AA240" s="12" t="n">
        <f aca="false">MAX(0,AA237-AA238)</f>
        <v>29924.0941088979</v>
      </c>
      <c r="AB240" s="12" t="n">
        <f aca="false">MAX(0,AB237-AB238)</f>
        <v>34759.7465623613</v>
      </c>
      <c r="AC240" s="12" t="n">
        <f aca="false">MAX(0,AC237-AC238)</f>
        <v>40272.3527296904</v>
      </c>
      <c r="AD240" s="12" t="n">
        <f aca="false">MAX(0,AD237-AD238)</f>
        <v>46556.6974197122</v>
      </c>
      <c r="AE240" s="12" t="n">
        <f aca="false">MAX(0,AE237-AE238)</f>
        <v>53720.8319278236</v>
      </c>
      <c r="AF240" s="12" t="n">
        <f aca="false">MAX(0,AF237-AF238)</f>
        <v>61887.9323601113</v>
      </c>
      <c r="AG240" s="12" t="n">
        <f aca="false">MAX(0,AG237-AG238)</f>
        <v>71198.4178180477</v>
      </c>
      <c r="AH240" s="12" t="n">
        <f aca="false">MAX(0,AH237-AH238)</f>
        <v>81812.3649156851</v>
      </c>
      <c r="AI240" s="12" t="n">
        <f aca="false">MAX(0,AI237-AI238)</f>
        <v>93912.2601799047</v>
      </c>
      <c r="AJ240" s="12" t="n">
        <f aca="false">MAX(0,AJ237-AJ238)</f>
        <v>107706.137682154</v>
      </c>
      <c r="AK240" s="12" t="n">
        <f aca="false">MAX(0,AK237-AK238)</f>
        <v>123431.155865446</v>
      </c>
      <c r="AL240" s="12" t="n">
        <f aca="false">MAX(0,AL237-AL238)</f>
        <v>141357.675075907</v>
      </c>
      <c r="AM240" s="12" t="n">
        <f aca="false">MAX(0,AM237-AM238)</f>
        <v>161793.90591289</v>
      </c>
      <c r="AN240" s="12" t="n">
        <f aca="false">MAX(0,AN237-AN238)</f>
        <v>177343.118754408</v>
      </c>
      <c r="AO240" s="12" t="n">
        <f aca="false">MAX(0,AO237-AO238)</f>
        <v>188227.56774347</v>
      </c>
      <c r="AP240" s="12" t="n">
        <f aca="false">MAX(0,AP237-AP238)</f>
        <v>195846.682035814</v>
      </c>
      <c r="AQ240" s="12" t="n">
        <f aca="false">MAX(0,AQ237-AQ238)</f>
        <v>201180.062040454</v>
      </c>
      <c r="AR240" s="12" t="n">
        <f aca="false">MAX(0,AR237-AR238)</f>
        <v>204913.428043702</v>
      </c>
      <c r="AS240" s="12" t="n">
        <f aca="false">MAX(0,AS237-AS238)</f>
        <v>207526.784245976</v>
      </c>
      <c r="AT240" s="12" t="n">
        <f aca="false">MAX(0,AT237-AT238)</f>
        <v>209356.133587568</v>
      </c>
      <c r="AU240" s="12" t="n">
        <f aca="false">MAX(0,AU237-AU238)</f>
        <v>210636.678126682</v>
      </c>
      <c r="AV240" s="12" t="n">
        <f aca="false">MAX(0,AV237-AV238)</f>
        <v>211533.059304062</v>
      </c>
      <c r="AW240" s="12" t="n">
        <f aca="false">MAX(0,AW237-AW238)</f>
        <v>212160.526128228</v>
      </c>
      <c r="AX240" s="12" t="n">
        <f aca="false">MAX(0,AX237-AX238)</f>
        <v>212599.752905144</v>
      </c>
      <c r="AY240" s="12" t="n">
        <f aca="false">MAX(0,AY237-AY238)</f>
        <v>212907.211648986</v>
      </c>
      <c r="AZ240" s="12" t="n">
        <f aca="false">MAX(0,AZ237-AZ238)</f>
        <v>213122.432769675</v>
      </c>
      <c r="BA240" s="12" t="n">
        <f aca="false">MAX(0,BA237-BA238)</f>
        <v>213273.087554157</v>
      </c>
      <c r="BB240" s="12" t="n">
        <f aca="false">MAX(0,BB237-BB238)</f>
        <v>213378.545903294</v>
      </c>
      <c r="BC240" s="12" t="n">
        <f aca="false">MAX(0,BC237-BC238)</f>
        <v>213452.366747691</v>
      </c>
      <c r="BD240" s="12" t="n">
        <f aca="false">MAX(0,BD237-BD238)</f>
        <v>213504.041338768</v>
      </c>
      <c r="BE240" s="12" t="n">
        <f aca="false">MAX(0,BE237-BE238)</f>
        <v>213540.213552522</v>
      </c>
      <c r="BF240" s="12" t="n">
        <f aca="false">MAX(0,BF237-BF238)</f>
        <v>213565.53410215</v>
      </c>
      <c r="BG240" s="12" t="n">
        <f aca="false">MAX(0,BG237-BG238)</f>
        <v>213583.25848689</v>
      </c>
      <c r="BH240" s="12" t="n">
        <f aca="false">MAX(0,BH237-BH238)</f>
        <v>213595.665556207</v>
      </c>
      <c r="BI240" s="12" t="n">
        <f aca="false">MAX(0,BI237-BI238)</f>
        <v>213604.35050473</v>
      </c>
      <c r="BJ240" s="12" t="n">
        <f aca="false">MAX(0,BJ237-BJ238)</f>
        <v>213610.429968695</v>
      </c>
      <c r="BK240" s="12" t="n">
        <f aca="false">MAX(0,BK237-BK238)</f>
        <v>213614.685593471</v>
      </c>
    </row>
    <row r="241" customFormat="false" ht="15" hidden="false" customHeight="false" outlineLevel="0" collapsed="false">
      <c r="A241" s="0" t="s">
        <v>216</v>
      </c>
      <c r="D241" s="7" t="n">
        <f aca="false">D240*$E$50*$E$51</f>
        <v>0</v>
      </c>
      <c r="E241" s="7" t="n">
        <f aca="false">E240*$E$50*$E$51</f>
        <v>0</v>
      </c>
      <c r="F241" s="7" t="n">
        <f aca="false">F240*$E$50*$E$51</f>
        <v>0</v>
      </c>
      <c r="G241" s="7" t="n">
        <f aca="false">G240*$E$50*$E$51</f>
        <v>0</v>
      </c>
      <c r="H241" s="7" t="n">
        <f aca="false">H240*$E$50*$E$51</f>
        <v>0</v>
      </c>
      <c r="I241" s="7" t="n">
        <f aca="false">I240*$E$50*$E$51</f>
        <v>0</v>
      </c>
      <c r="J241" s="7" t="n">
        <f aca="false">J240*$E$50*$E$51</f>
        <v>0</v>
      </c>
      <c r="K241" s="7" t="n">
        <f aca="false">K240*$E$50*$E$51</f>
        <v>0</v>
      </c>
      <c r="L241" s="7" t="n">
        <f aca="false">L240*$E$50*$E$51</f>
        <v>0</v>
      </c>
      <c r="M241" s="7" t="n">
        <f aca="false">M240*$E$50*$E$51</f>
        <v>0</v>
      </c>
      <c r="N241" s="7" t="n">
        <f aca="false">N240*$E$50*$E$51</f>
        <v>0</v>
      </c>
      <c r="O241" s="7" t="n">
        <f aca="false">O240*$E$50*$E$51</f>
        <v>0</v>
      </c>
      <c r="P241" s="7" t="n">
        <f aca="false">P240*$E$50*$E$51</f>
        <v>0</v>
      </c>
      <c r="Q241" s="7" t="n">
        <f aca="false">Q240*$E$50*$E$51</f>
        <v>0</v>
      </c>
      <c r="R241" s="7" t="n">
        <f aca="false">R240*$E$50*$E$51</f>
        <v>0</v>
      </c>
      <c r="S241" s="7" t="n">
        <f aca="false">S240*$E$50*$E$51</f>
        <v>0</v>
      </c>
      <c r="T241" s="7" t="n">
        <f aca="false">T240*$E$50*$E$51</f>
        <v>0</v>
      </c>
      <c r="U241" s="7" t="n">
        <f aca="false">U240*$E$50*$E$51</f>
        <v>0</v>
      </c>
      <c r="V241" s="7" t="n">
        <f aca="false">V240*$E$50*$E$51</f>
        <v>0</v>
      </c>
      <c r="W241" s="7" t="n">
        <f aca="false">W240*$E$50*$E$51</f>
        <v>0</v>
      </c>
      <c r="X241" s="7" t="n">
        <f aca="false">X240*$E$50*$E$51</f>
        <v>0</v>
      </c>
      <c r="Y241" s="7" t="n">
        <f aca="false">Y240*$E$50*$E$51</f>
        <v>0</v>
      </c>
      <c r="Z241" s="7" t="n">
        <f aca="false">Z240*$E$50*$E$51</f>
        <v>0</v>
      </c>
      <c r="AA241" s="7" t="n">
        <f aca="false">AA240*$E$50*$E$51</f>
        <v>0</v>
      </c>
      <c r="AB241" s="7" t="n">
        <f aca="false">AB240*$E$50*$E$51</f>
        <v>0</v>
      </c>
      <c r="AC241" s="7" t="n">
        <f aca="false">AC240*$E$50*$E$51</f>
        <v>0</v>
      </c>
      <c r="AD241" s="7" t="n">
        <f aca="false">AD240*$E$50*$E$51</f>
        <v>0</v>
      </c>
      <c r="AE241" s="7" t="n">
        <f aca="false">AE240*$E$50*$E$51</f>
        <v>0</v>
      </c>
      <c r="AF241" s="7" t="n">
        <f aca="false">AF240*$E$50*$E$51</f>
        <v>0</v>
      </c>
      <c r="AG241" s="7" t="n">
        <f aca="false">AG240*$E$50*$E$51</f>
        <v>0</v>
      </c>
      <c r="AH241" s="7" t="n">
        <f aca="false">AH240*$E$50*$E$51</f>
        <v>0</v>
      </c>
      <c r="AI241" s="7" t="n">
        <f aca="false">AI240*$E$50*$E$51</f>
        <v>0</v>
      </c>
      <c r="AJ241" s="7" t="n">
        <f aca="false">AJ240*$E$50*$E$51</f>
        <v>0</v>
      </c>
      <c r="AK241" s="7" t="n">
        <f aca="false">AK240*$E$50*$E$51</f>
        <v>0</v>
      </c>
      <c r="AL241" s="7" t="n">
        <f aca="false">AL240*$E$50*$E$51</f>
        <v>0</v>
      </c>
      <c r="AM241" s="7" t="n">
        <f aca="false">AM240*$E$50*$E$51</f>
        <v>0</v>
      </c>
      <c r="AN241" s="7" t="n">
        <f aca="false">AN240*$E$50*$E$51</f>
        <v>0</v>
      </c>
      <c r="AO241" s="7" t="n">
        <f aca="false">AO240*$E$50*$E$51</f>
        <v>0</v>
      </c>
      <c r="AP241" s="7" t="n">
        <f aca="false">AP240*$E$50*$E$51</f>
        <v>0</v>
      </c>
      <c r="AQ241" s="7" t="n">
        <f aca="false">AQ240*$E$50*$E$51</f>
        <v>0</v>
      </c>
      <c r="AR241" s="7" t="n">
        <f aca="false">AR240*$E$50*$E$51</f>
        <v>0</v>
      </c>
      <c r="AS241" s="7" t="n">
        <f aca="false">AS240*$E$50*$E$51</f>
        <v>0</v>
      </c>
      <c r="AT241" s="7" t="n">
        <f aca="false">AT240*$E$50*$E$51</f>
        <v>0</v>
      </c>
      <c r="AU241" s="7" t="n">
        <f aca="false">AU240*$E$50*$E$51</f>
        <v>0</v>
      </c>
      <c r="AV241" s="7" t="n">
        <f aca="false">AV240*$E$50*$E$51</f>
        <v>0</v>
      </c>
      <c r="AW241" s="7" t="n">
        <f aca="false">AW240*$E$50*$E$51</f>
        <v>0</v>
      </c>
      <c r="AX241" s="7" t="n">
        <f aca="false">AX240*$E$50*$E$51</f>
        <v>0</v>
      </c>
      <c r="AY241" s="7" t="n">
        <f aca="false">AY240*$E$50*$E$51</f>
        <v>0</v>
      </c>
      <c r="AZ241" s="7" t="n">
        <f aca="false">AZ240*$E$50*$E$51</f>
        <v>0</v>
      </c>
      <c r="BA241" s="7" t="n">
        <f aca="false">BA240*$E$50*$E$51</f>
        <v>0</v>
      </c>
      <c r="BB241" s="7" t="n">
        <f aca="false">BB240*$E$50*$E$51</f>
        <v>0</v>
      </c>
      <c r="BC241" s="7" t="n">
        <f aca="false">BC240*$E$50*$E$51</f>
        <v>0</v>
      </c>
      <c r="BD241" s="7" t="n">
        <f aca="false">BD240*$E$50*$E$51</f>
        <v>0</v>
      </c>
      <c r="BE241" s="7" t="n">
        <f aca="false">BE240*$E$50*$E$51</f>
        <v>0</v>
      </c>
      <c r="BF241" s="7" t="n">
        <f aca="false">BF240*$E$50*$E$51</f>
        <v>0</v>
      </c>
      <c r="BG241" s="7" t="n">
        <f aca="false">BG240*$E$50*$E$51</f>
        <v>0</v>
      </c>
      <c r="BH241" s="7" t="n">
        <f aca="false">BH240*$E$50*$E$51</f>
        <v>0</v>
      </c>
      <c r="BI241" s="7" t="n">
        <f aca="false">BI240*$E$50*$E$51</f>
        <v>0</v>
      </c>
      <c r="BJ241" s="7" t="n">
        <f aca="false">BJ240*$E$50*$E$51</f>
        <v>0</v>
      </c>
      <c r="BK241" s="7" t="n">
        <f aca="false">BK240*$E$50*$E$51</f>
        <v>0</v>
      </c>
    </row>
    <row r="242" customFormat="false" ht="15" hidden="false" customHeight="false" outlineLevel="0" collapsed="false">
      <c r="A242" s="0" t="s">
        <v>217</v>
      </c>
      <c r="D242" s="7" t="n">
        <f aca="false">$E$53+$E$54*(D218+D236)</f>
        <v>61.76</v>
      </c>
      <c r="E242" s="7" t="n">
        <f aca="false">$E$53+$E$54*(E218+E236)</f>
        <v>63.2683684</v>
      </c>
      <c r="F242" s="7" t="n">
        <f aca="false">$E$53+$E$54*(F218+F236)</f>
        <v>64.63760627</v>
      </c>
      <c r="G242" s="7" t="n">
        <f aca="false">$E$53+$E$54*(G218+G236)</f>
        <v>65.95174526155</v>
      </c>
      <c r="H242" s="7" t="n">
        <f aca="false">$E$53+$E$54*(H218+H236)</f>
        <v>67.275621636013</v>
      </c>
      <c r="I242" s="7" t="n">
        <f aca="false">$E$53+$E$54*(I218+I236)</f>
        <v>68.6614711232359</v>
      </c>
      <c r="J242" s="7" t="n">
        <f aca="false">$E$53+$E$54*(J218+J236)</f>
        <v>70.153662761413</v>
      </c>
      <c r="K242" s="7" t="n">
        <f aca="false">$E$53+$E$54*(K218+K236)</f>
        <v>71.7921464413769</v>
      </c>
      <c r="L242" s="7" t="n">
        <f aca="false">$E$53+$E$54*(L218+L236)</f>
        <v>73.6150187616358</v>
      </c>
      <c r="M242" s="7" t="n">
        <f aca="false">$E$53+$E$54*(M218+M236)</f>
        <v>75.6604930405248</v>
      </c>
      <c r="N242" s="7" t="n">
        <f aca="false">$E$53+$E$54*(N218+N236)</f>
        <v>77.9684765668567</v>
      </c>
      <c r="O242" s="7" t="n">
        <f aca="false">$E$53+$E$54*(O218+O236)</f>
        <v>80.5819006533172</v>
      </c>
      <c r="P242" s="7" t="n">
        <f aca="false">$E$53+$E$54*(P218+P236)</f>
        <v>83.5479092717911</v>
      </c>
      <c r="Q242" s="7" t="n">
        <f aca="false">$E$53+$E$54*(Q218+Q236)</f>
        <v>86.9189847439676</v>
      </c>
      <c r="R242" s="7" t="n">
        <f aca="false">$E$53+$E$54*(R218+R236)</f>
        <v>90.7540704663245</v>
      </c>
      <c r="S242" s="7" t="n">
        <f aca="false">$E$53+$E$54*(S218+S236)</f>
        <v>95.1197384092301</v>
      </c>
      <c r="T242" s="7" t="n">
        <f aca="false">$E$53+$E$54*(T218+T236)</f>
        <v>100.091441367896</v>
      </c>
      <c r="U242" s="7" t="n">
        <f aca="false">$E$53+$E$54*(U218+U236)</f>
        <v>105.754885427835</v>
      </c>
      <c r="V242" s="7" t="n">
        <f aca="false">$E$53+$E$54*(V218+V236)</f>
        <v>112.20755599383</v>
      </c>
      <c r="W242" s="7" t="n">
        <f aca="false">$E$53+$E$54*(W218+W236)</f>
        <v>119.560430445311</v>
      </c>
      <c r="X242" s="7" t="n">
        <f aca="false">$E$53+$E$54*(X218+X236)</f>
        <v>127.939911641351</v>
      </c>
      <c r="Y242" s="7" t="n">
        <f aca="false">$E$53+$E$54*(Y218+Y236)</f>
        <v>137.490018861702</v>
      </c>
      <c r="Z242" s="7" t="n">
        <f aca="false">$E$53+$E$54*(Z218+Z236)</f>
        <v>148.37487619278</v>
      </c>
      <c r="AA242" s="7" t="n">
        <f aca="false">$E$53+$E$54*(AA218+AA236)</f>
        <v>160.781542778928</v>
      </c>
      <c r="AB242" s="7" t="n">
        <f aca="false">$E$53+$E$54*(AB218+AB236)</f>
        <v>174.923234745261</v>
      </c>
      <c r="AC242" s="7" t="n">
        <f aca="false">$E$53+$E$54*(AC218+AC236)</f>
        <v>191.042994988209</v>
      </c>
      <c r="AD242" s="7" t="n">
        <f aca="false">$E$53+$E$54*(AD218+AD236)</f>
        <v>209.417874489159</v>
      </c>
      <c r="AE242" s="7" t="n">
        <f aca="false">$E$53+$E$54*(AE218+AE236)</f>
        <v>230.363697432604</v>
      </c>
      <c r="AF242" s="7" t="n">
        <f aca="false">$E$53+$E$54*(AF218+AF236)</f>
        <v>254.240492329548</v>
      </c>
      <c r="AG242" s="7" t="n">
        <f aca="false">$E$53+$E$54*(AG218+AG236)</f>
        <v>281.458682714941</v>
      </c>
      <c r="AH242" s="7" t="n">
        <f aca="false">$E$53+$E$54*(AH218+AH236)</f>
        <v>312.486143989517</v>
      </c>
      <c r="AI242" s="7" t="n">
        <f aca="false">$E$53+$E$54*(AI218+AI236)</f>
        <v>347.856247827527</v>
      </c>
      <c r="AJ242" s="7" t="n">
        <f aca="false">$E$53+$E$54*(AJ218+AJ236)</f>
        <v>388.177032522851</v>
      </c>
      <c r="AK242" s="7" t="n">
        <f aca="false">$E$53+$E$54*(AK218+AK236)</f>
        <v>434.141656984352</v>
      </c>
      <c r="AL242" s="7" t="n">
        <f aca="false">$E$53+$E$54*(AL218+AL236)</f>
        <v>486.540318147349</v>
      </c>
      <c r="AM242" s="7" t="n">
        <f aca="false">$E$53+$E$54*(AM218+AM236)</f>
        <v>546.27383671883</v>
      </c>
      <c r="AN242" s="7" t="n">
        <f aca="false">$E$53+$E$54*(AN218+AN236)</f>
        <v>593.54094708596</v>
      </c>
      <c r="AO242" s="7" t="n">
        <f aca="false">$E$53+$E$54*(AO218+AO236)</f>
        <v>628.678406007492</v>
      </c>
      <c r="AP242" s="7" t="n">
        <f aca="false">$E$53+$E$54*(AP218+AP236)</f>
        <v>655.212289851609</v>
      </c>
      <c r="AQ242" s="7" t="n">
        <f aca="false">$E$53+$E$54*(AQ218+AQ236)</f>
        <v>675.617413417852</v>
      </c>
      <c r="AR242" s="7" t="n">
        <f aca="false">$E$53+$E$54*(AR218+AR236)</f>
        <v>691.632308922536</v>
      </c>
      <c r="AS242" s="7" t="n">
        <f aca="false">$E$53+$E$54*(AS218+AS236)</f>
        <v>704.479736506743</v>
      </c>
      <c r="AT242" s="7" t="n">
        <f aca="false">$E$53+$E$54*(AT218+AT236)</f>
        <v>715.021065173569</v>
      </c>
      <c r="AU242" s="7" t="n">
        <f aca="false">$E$53+$E$54*(AU218+AU236)</f>
        <v>723.864361497737</v>
      </c>
      <c r="AV242" s="7" t="n">
        <f aca="false">$E$53+$E$54*(AV218+AV236)</f>
        <v>731.440072348838</v>
      </c>
      <c r="AW242" s="7" t="n">
        <f aca="false">$E$53+$E$54*(AW218+AW236)</f>
        <v>738.054022091475</v>
      </c>
      <c r="AX242" s="7" t="n">
        <f aca="false">$E$53+$E$54*(AX218+AX236)</f>
        <v>743.924528674541</v>
      </c>
      <c r="AY242" s="7" t="n">
        <f aca="false">$E$53+$E$54*(AY218+AY236)</f>
        <v>749.208401780334</v>
      </c>
      <c r="AZ242" s="7" t="n">
        <f aca="false">$E$53+$E$54*(AZ218+AZ236)</f>
        <v>754.019157329544</v>
      </c>
      <c r="BA242" s="7" t="n">
        <f aca="false">$E$53+$E$54*(BA218+BA236)</f>
        <v>758.439782420843</v>
      </c>
      <c r="BB242" s="7" t="n">
        <f aca="false">$E$53+$E$54*(BB218+BB236)</f>
        <v>762.531684626813</v>
      </c>
      <c r="BC242" s="7" t="n">
        <f aca="false">$E$53+$E$54*(BC218+BC236)</f>
        <v>766.340969453694</v>
      </c>
      <c r="BD242" s="7" t="n">
        <f aca="false">$E$53+$E$54*(BD218+BD236)</f>
        <v>769.902846688202</v>
      </c>
      <c r="BE242" s="7" t="n">
        <f aca="false">$E$53+$E$54*(BE218+BE236)</f>
        <v>773.244726191925</v>
      </c>
      <c r="BF242" s="7" t="n">
        <f aca="false">$E$53+$E$54*(BF218+BF236)</f>
        <v>776.388395586185</v>
      </c>
      <c r="BG242" s="7" t="n">
        <f aca="false">$E$53+$E$54*(BG218+BG236)</f>
        <v>779.351554584609</v>
      </c>
      <c r="BH242" s="7" t="n">
        <f aca="false">$E$53+$E$54*(BH218+BH236)</f>
        <v>782.148898347549</v>
      </c>
      <c r="BI242" s="7" t="n">
        <f aca="false">$E$53+$E$54*(BI218+BI236)</f>
        <v>784.792884561362</v>
      </c>
      <c r="BJ242" s="7" t="n">
        <f aca="false">$E$53+$E$54*(BJ218+BJ236)</f>
        <v>787.294278573073</v>
      </c>
      <c r="BK242" s="7" t="n">
        <f aca="false">$E$53+$E$54*(BK218+BK236)</f>
        <v>789.662542647641</v>
      </c>
    </row>
    <row r="243" customFormat="false" ht="15" hidden="false" customHeight="false" outlineLevel="0" collapsed="false">
      <c r="A243" s="0" t="s">
        <v>218</v>
      </c>
      <c r="D243" s="7" t="n">
        <f aca="false">D218*$E$55/60*$E$56</f>
        <v>9.24</v>
      </c>
      <c r="E243" s="7" t="n">
        <f aca="false">E218*$E$55/60*$E$56</f>
        <v>19.24923</v>
      </c>
      <c r="F243" s="7" t="n">
        <f aca="false">F218*$E$55/60*$E$56</f>
        <v>30.16669425</v>
      </c>
      <c r="G243" s="7" t="n">
        <f aca="false">G218*$E$55/60*$E$56</f>
        <v>42.14890997625</v>
      </c>
      <c r="H243" s="7" t="n">
        <f aca="false">H218*$E$55/60*$E$56</f>
        <v>55.3724842113713</v>
      </c>
      <c r="I243" s="7" t="n">
        <f aca="false">I218*$E$55/60*$E$56</f>
        <v>70.0370431645486</v>
      </c>
      <c r="J243" s="7" t="n">
        <f aca="false">J218*$E$55/60*$E$56</f>
        <v>86.368564036886</v>
      </c>
      <c r="K243" s="7" t="n">
        <f aca="false">K218*$E$55/60*$E$56</f>
        <v>104.623166136512</v>
      </c>
      <c r="L243" s="7" t="n">
        <f aca="false">L218*$E$55/60*$E$56</f>
        <v>125.091426072984</v>
      </c>
      <c r="M243" s="7" t="n">
        <f aca="false">M218*$E$55/60*$E$56</f>
        <v>148.103290847383</v>
      </c>
      <c r="N243" s="7" t="n">
        <f aca="false">N218*$E$55/60*$E$56</f>
        <v>174.033672958669</v>
      </c>
      <c r="O243" s="7" t="n">
        <f aca="false">O218*$E$55/60*$E$56</f>
        <v>203.308823395718</v>
      </c>
      <c r="P243" s="7" t="n">
        <f aca="false">P218*$E$55/60*$E$56</f>
        <v>236.413591780036</v>
      </c>
      <c r="Q243" s="7" t="n">
        <f aca="false">Q218*$E$55/60*$E$56</f>
        <v>273.899698196914</v>
      </c>
      <c r="R243" s="7" t="n">
        <f aca="false">R218*$E$55/60*$E$56</f>
        <v>316.395158665359</v>
      </c>
      <c r="S243" s="7" t="n">
        <f aca="false">S218*$E$55/60*$E$56</f>
        <v>364.615026049062</v>
      </c>
      <c r="T243" s="7" t="n">
        <f aca="false">T218*$E$55/60*$E$56</f>
        <v>419.373630843259</v>
      </c>
      <c r="U243" s="7" t="n">
        <f aca="false">U218*$E$55/60*$E$56</f>
        <v>481.598532074875</v>
      </c>
      <c r="V243" s="7" t="n">
        <f aca="false">V218*$E$55/60*$E$56</f>
        <v>552.346417969433</v>
      </c>
      <c r="W243" s="7" t="n">
        <f aca="false">W218*$E$55/60*$E$56</f>
        <v>632.821229573774</v>
      </c>
      <c r="X243" s="7" t="n">
        <f aca="false">X218*$E$55/60*$E$56</f>
        <v>724.394818755215</v>
      </c>
      <c r="Y243" s="7" t="n">
        <f aca="false">Y218*$E$55/60*$E$56</f>
        <v>828.630495582796</v>
      </c>
      <c r="Z243" s="7" t="n">
        <f aca="false">Z218*$E$55/60*$E$56</f>
        <v>947.309869784159</v>
      </c>
      <c r="AA243" s="7" t="n">
        <f aca="false">AA218*$E$55/60*$E$56</f>
        <v>1082.46344761662</v>
      </c>
      <c r="AB243" s="7" t="n">
        <f aca="false">AB218*$E$55/60*$E$56</f>
        <v>1236.40551006724</v>
      </c>
      <c r="AC243" s="7" t="n">
        <f aca="false">AC218*$E$55/60*$E$56</f>
        <v>1411.77387191412</v>
      </c>
      <c r="AD243" s="7" t="n">
        <f aca="false">AD218*$E$55/60*$E$56</f>
        <v>1611.57520510627</v>
      </c>
      <c r="AE243" s="7" t="n">
        <f aca="false">AE218*$E$55/60*$E$56</f>
        <v>1839.23670559379</v>
      </c>
      <c r="AF243" s="7" t="n">
        <f aca="false">AF218*$E$55/60*$E$56</f>
        <v>2098.6649918106</v>
      </c>
      <c r="AG243" s="7" t="n">
        <f aca="false">AG218*$E$55/60*$E$56</f>
        <v>2394.31324735203</v>
      </c>
      <c r="AH243" s="7" t="n">
        <f aca="false">AH218*$E$55/60*$E$56</f>
        <v>2731.25776213817</v>
      </c>
      <c r="AI243" s="7" t="n">
        <f aca="false">AI218*$E$55/60*$E$56</f>
        <v>3115.28518794781</v>
      </c>
      <c r="AJ243" s="7" t="n">
        <f aca="false">AJ218*$E$55/60*$E$56</f>
        <v>3552.9920084253</v>
      </c>
      <c r="AK243" s="7" t="n">
        <f aca="false">AK218*$E$55/60*$E$56</f>
        <v>4051.89793367071</v>
      </c>
      <c r="AL243" s="7" t="n">
        <f aca="false">AL218*$E$55/60*$E$56</f>
        <v>4620.57516893393</v>
      </c>
      <c r="AM243" s="7" t="n">
        <f aca="false">AM218*$E$55/60*$E$56</f>
        <v>5268.7957798608</v>
      </c>
      <c r="AN243" s="7" t="n">
        <f aca="false">AN218*$E$55/60*$E$56</f>
        <v>5898.35164961097</v>
      </c>
      <c r="AO243" s="7" t="n">
        <f aca="false">AO218*$E$55/60*$E$56</f>
        <v>6492.82688327671</v>
      </c>
      <c r="AP243" s="7" t="n">
        <f aca="false">AP218*$E$55/60*$E$56</f>
        <v>7054.28424177101</v>
      </c>
      <c r="AQ243" s="7" t="n">
        <f aca="false">AQ218*$E$55/60*$E$56</f>
        <v>7584.65975836914</v>
      </c>
      <c r="AR243" s="7" t="n">
        <f aca="false">AR218*$E$55/60*$E$56</f>
        <v>8085.7707956114</v>
      </c>
      <c r="AS243" s="7" t="n">
        <f aca="false">AS218*$E$55/60*$E$56</f>
        <v>8559.32357650052</v>
      </c>
      <c r="AT243" s="7" t="n">
        <f aca="false">AT218*$E$55/60*$E$56</f>
        <v>9006.92022496408</v>
      </c>
      <c r="AU243" s="7" t="n">
        <f aca="false">AU218*$E$55/60*$E$56</f>
        <v>9430.06534819272</v>
      </c>
      <c r="AV243" s="7" t="n">
        <f aca="false">AV218*$E$55/60*$E$56</f>
        <v>9830.17219126657</v>
      </c>
      <c r="AW243" s="7" t="n">
        <f aca="false">AW218*$E$55/60*$E$56</f>
        <v>10208.5683924332</v>
      </c>
      <c r="AX243" s="7" t="n">
        <f aca="false">AX218*$E$55/60*$E$56</f>
        <v>10566.5013654914</v>
      </c>
      <c r="AY243" s="7" t="n">
        <f aca="false">AY218*$E$55/60*$E$56</f>
        <v>10905.1433339556</v>
      </c>
      <c r="AZ243" s="7" t="n">
        <f aca="false">AZ218*$E$55/60*$E$56</f>
        <v>11225.5960400172</v>
      </c>
      <c r="BA243" s="7" t="n">
        <f aca="false">BA218*$E$55/60*$E$56</f>
        <v>11528.8951497742</v>
      </c>
      <c r="BB243" s="7" t="n">
        <f aca="false">BB218*$E$55/60*$E$56</f>
        <v>11816.0143747587</v>
      </c>
      <c r="BC243" s="7" t="n">
        <f aca="false">BC218*$E$55/60*$E$56</f>
        <v>12087.8693284504</v>
      </c>
      <c r="BD243" s="7" t="n">
        <f aca="false">BD218*$E$55/60*$E$56</f>
        <v>12345.3211352115</v>
      </c>
      <c r="BE243" s="7" t="n">
        <f aca="false">BE218*$E$55/60*$E$56</f>
        <v>12589.1798079119</v>
      </c>
      <c r="BF243" s="7" t="n">
        <f aca="false">BF218*$E$55/60*$E$56</f>
        <v>12820.2074094261</v>
      </c>
      <c r="BG243" s="7" t="n">
        <f aca="false">BG218*$E$55/60*$E$56</f>
        <v>13039.1210121693</v>
      </c>
      <c r="BH243" s="7" t="n">
        <f aca="false">BH218*$E$55/60*$E$56</f>
        <v>13246.5954688927</v>
      </c>
      <c r="BI243" s="7" t="n">
        <f aca="false">BI218*$E$55/60*$E$56</f>
        <v>13443.2660070807</v>
      </c>
      <c r="BJ243" s="7" t="n">
        <f aca="false">BJ218*$E$55/60*$E$56</f>
        <v>13629.7306584655</v>
      </c>
      <c r="BK243" s="7" t="n">
        <f aca="false">BK218*$E$55/60*$E$56</f>
        <v>13806.5525344125</v>
      </c>
    </row>
    <row r="244" customFormat="false" ht="15" hidden="false" customHeight="false" outlineLevel="0" collapsed="false">
      <c r="A244" s="0" t="s">
        <v>219</v>
      </c>
      <c r="D244" s="7" t="n">
        <f aca="false">$E$23</f>
        <v>0</v>
      </c>
      <c r="E244" s="7" t="n">
        <f aca="false">$E$23</f>
        <v>0</v>
      </c>
      <c r="F244" s="7" t="n">
        <f aca="false">$E$23</f>
        <v>0</v>
      </c>
      <c r="G244" s="7" t="n">
        <f aca="false">$E$23</f>
        <v>0</v>
      </c>
      <c r="H244" s="7" t="n">
        <f aca="false">$E$23</f>
        <v>0</v>
      </c>
      <c r="I244" s="7" t="n">
        <f aca="false">$E$23</f>
        <v>0</v>
      </c>
      <c r="J244" s="7" t="n">
        <f aca="false">$E$23</f>
        <v>0</v>
      </c>
      <c r="K244" s="7" t="n">
        <f aca="false">$E$23</f>
        <v>0</v>
      </c>
      <c r="L244" s="7" t="n">
        <f aca="false">$E$23</f>
        <v>0</v>
      </c>
      <c r="M244" s="7" t="n">
        <f aca="false">$E$23</f>
        <v>0</v>
      </c>
      <c r="N244" s="7" t="n">
        <f aca="false">$E$23</f>
        <v>0</v>
      </c>
      <c r="O244" s="7" t="n">
        <f aca="false">$E$23</f>
        <v>0</v>
      </c>
      <c r="P244" s="7" t="n">
        <f aca="false">$E$23</f>
        <v>0</v>
      </c>
      <c r="Q244" s="7" t="n">
        <f aca="false">$E$23</f>
        <v>0</v>
      </c>
      <c r="R244" s="7" t="n">
        <f aca="false">$E$23</f>
        <v>0</v>
      </c>
      <c r="S244" s="7" t="n">
        <f aca="false">$E$23</f>
        <v>0</v>
      </c>
      <c r="T244" s="7" t="n">
        <f aca="false">$E$23</f>
        <v>0</v>
      </c>
      <c r="U244" s="7" t="n">
        <f aca="false">$E$23</f>
        <v>0</v>
      </c>
      <c r="V244" s="7" t="n">
        <f aca="false">$E$23</f>
        <v>0</v>
      </c>
      <c r="W244" s="7" t="n">
        <f aca="false">$E$23</f>
        <v>0</v>
      </c>
      <c r="X244" s="7" t="n">
        <f aca="false">$E$23</f>
        <v>0</v>
      </c>
      <c r="Y244" s="7" t="n">
        <f aca="false">$E$23</f>
        <v>0</v>
      </c>
      <c r="Z244" s="7" t="n">
        <f aca="false">$E$23</f>
        <v>0</v>
      </c>
      <c r="AA244" s="7" t="n">
        <f aca="false">$E$23</f>
        <v>0</v>
      </c>
      <c r="AB244" s="7" t="n">
        <f aca="false">$E$23</f>
        <v>0</v>
      </c>
      <c r="AC244" s="7" t="n">
        <f aca="false">$E$23</f>
        <v>0</v>
      </c>
      <c r="AD244" s="7" t="n">
        <f aca="false">$E$23</f>
        <v>0</v>
      </c>
      <c r="AE244" s="7" t="n">
        <f aca="false">$E$23</f>
        <v>0</v>
      </c>
      <c r="AF244" s="7" t="n">
        <f aca="false">$E$23</f>
        <v>0</v>
      </c>
      <c r="AG244" s="7" t="n">
        <f aca="false">$E$23</f>
        <v>0</v>
      </c>
      <c r="AH244" s="7" t="n">
        <f aca="false">$E$23</f>
        <v>0</v>
      </c>
      <c r="AI244" s="7" t="n">
        <f aca="false">$E$23</f>
        <v>0</v>
      </c>
      <c r="AJ244" s="7" t="n">
        <f aca="false">$E$23</f>
        <v>0</v>
      </c>
      <c r="AK244" s="7" t="n">
        <f aca="false">$E$23</f>
        <v>0</v>
      </c>
      <c r="AL244" s="7" t="n">
        <f aca="false">$E$23</f>
        <v>0</v>
      </c>
      <c r="AM244" s="7" t="n">
        <f aca="false">$E$23</f>
        <v>0</v>
      </c>
      <c r="AN244" s="7" t="n">
        <f aca="false">$E$23</f>
        <v>0</v>
      </c>
      <c r="AO244" s="7" t="n">
        <f aca="false">$E$23</f>
        <v>0</v>
      </c>
      <c r="AP244" s="7" t="n">
        <f aca="false">$E$23</f>
        <v>0</v>
      </c>
      <c r="AQ244" s="7" t="n">
        <f aca="false">$E$23</f>
        <v>0</v>
      </c>
      <c r="AR244" s="7" t="n">
        <f aca="false">$E$23</f>
        <v>0</v>
      </c>
      <c r="AS244" s="7" t="n">
        <f aca="false">$E$23</f>
        <v>0</v>
      </c>
      <c r="AT244" s="7" t="n">
        <f aca="false">$E$23</f>
        <v>0</v>
      </c>
      <c r="AU244" s="7" t="n">
        <f aca="false">$E$23</f>
        <v>0</v>
      </c>
      <c r="AV244" s="7" t="n">
        <f aca="false">$E$23</f>
        <v>0</v>
      </c>
      <c r="AW244" s="7" t="n">
        <f aca="false">$E$23</f>
        <v>0</v>
      </c>
      <c r="AX244" s="7" t="n">
        <f aca="false">$E$23</f>
        <v>0</v>
      </c>
      <c r="AY244" s="7" t="n">
        <f aca="false">$E$23</f>
        <v>0</v>
      </c>
      <c r="AZ244" s="7" t="n">
        <f aca="false">$E$23</f>
        <v>0</v>
      </c>
      <c r="BA244" s="7" t="n">
        <f aca="false">$E$23</f>
        <v>0</v>
      </c>
      <c r="BB244" s="7" t="n">
        <f aca="false">$E$23</f>
        <v>0</v>
      </c>
      <c r="BC244" s="7" t="n">
        <f aca="false">$E$23</f>
        <v>0</v>
      </c>
      <c r="BD244" s="7" t="n">
        <f aca="false">$E$23</f>
        <v>0</v>
      </c>
      <c r="BE244" s="7" t="n">
        <f aca="false">$E$23</f>
        <v>0</v>
      </c>
      <c r="BF244" s="7" t="n">
        <f aca="false">$E$23</f>
        <v>0</v>
      </c>
      <c r="BG244" s="7" t="n">
        <f aca="false">$E$23</f>
        <v>0</v>
      </c>
      <c r="BH244" s="7" t="n">
        <f aca="false">$E$23</f>
        <v>0</v>
      </c>
      <c r="BI244" s="7" t="n">
        <f aca="false">$E$23</f>
        <v>0</v>
      </c>
      <c r="BJ244" s="7" t="n">
        <f aca="false">$E$23</f>
        <v>0</v>
      </c>
      <c r="BK244" s="7" t="n">
        <f aca="false">$E$23</f>
        <v>0</v>
      </c>
    </row>
    <row r="245" customFormat="false" ht="15" hidden="false" customHeight="false" outlineLevel="0" collapsed="false">
      <c r="A245" s="0" t="s">
        <v>220</v>
      </c>
      <c r="D245" s="7" t="n">
        <f aca="false">D207*D210/MAX(D209,0.000001)*$E$27*$E$33</f>
        <v>0</v>
      </c>
      <c r="E245" s="7" t="n">
        <f aca="false">E207*E210/MAX(E209,0.000001)*$E$27*$E$33</f>
        <v>0</v>
      </c>
      <c r="F245" s="7" t="n">
        <f aca="false">F207*F210/MAX(F209,0.000001)*$E$27*$E$33</f>
        <v>0</v>
      </c>
      <c r="G245" s="7" t="n">
        <f aca="false">G207*G210/MAX(G209,0.000001)*$E$27*$E$33</f>
        <v>0</v>
      </c>
      <c r="H245" s="7" t="n">
        <f aca="false">H207*H210/MAX(H209,0.000001)*$E$27*$E$33</f>
        <v>0</v>
      </c>
      <c r="I245" s="7" t="n">
        <f aca="false">I207*I210/MAX(I209,0.000001)*$E$27*$E$33</f>
        <v>0</v>
      </c>
      <c r="J245" s="7" t="n">
        <f aca="false">J207*J210/MAX(J209,0.000001)*$E$27*$E$33</f>
        <v>0</v>
      </c>
      <c r="K245" s="7" t="n">
        <f aca="false">K207*K210/MAX(K209,0.000001)*$E$27*$E$33</f>
        <v>0</v>
      </c>
      <c r="L245" s="7" t="n">
        <f aca="false">L207*L210/MAX(L209,0.000001)*$E$27*$E$33</f>
        <v>0</v>
      </c>
      <c r="M245" s="7" t="n">
        <f aca="false">M207*M210/MAX(M209,0.000001)*$E$27*$E$33</f>
        <v>0</v>
      </c>
      <c r="N245" s="7" t="n">
        <f aca="false">N207*N210/MAX(N209,0.000001)*$E$27*$E$33</f>
        <v>0</v>
      </c>
      <c r="O245" s="7" t="n">
        <f aca="false">O207*O210/MAX(O209,0.000001)*$E$27*$E$33</f>
        <v>0</v>
      </c>
      <c r="P245" s="7" t="n">
        <f aca="false">P207*P210/MAX(P209,0.000001)*$E$27*$E$33</f>
        <v>0</v>
      </c>
      <c r="Q245" s="7" t="n">
        <f aca="false">Q207*Q210/MAX(Q209,0.000001)*$E$27*$E$33</f>
        <v>0</v>
      </c>
      <c r="R245" s="7" t="n">
        <f aca="false">R207*R210/MAX(R209,0.000001)*$E$27*$E$33</f>
        <v>0</v>
      </c>
      <c r="S245" s="7" t="n">
        <f aca="false">S207*S210/MAX(S209,0.000001)*$E$27*$E$33</f>
        <v>0</v>
      </c>
      <c r="T245" s="7" t="n">
        <f aca="false">T207*T210/MAX(T209,0.000001)*$E$27*$E$33</f>
        <v>0</v>
      </c>
      <c r="U245" s="7" t="n">
        <f aca="false">U207*U210/MAX(U209,0.000001)*$E$27*$E$33</f>
        <v>0</v>
      </c>
      <c r="V245" s="7" t="n">
        <f aca="false">V207*V210/MAX(V209,0.000001)*$E$27*$E$33</f>
        <v>0</v>
      </c>
      <c r="W245" s="7" t="n">
        <f aca="false">W207*W210/MAX(W209,0.000001)*$E$27*$E$33</f>
        <v>0</v>
      </c>
      <c r="X245" s="7" t="n">
        <f aca="false">X207*X210/MAX(X209,0.000001)*$E$27*$E$33</f>
        <v>0</v>
      </c>
      <c r="Y245" s="7" t="n">
        <f aca="false">Y207*Y210/MAX(Y209,0.000001)*$E$27*$E$33</f>
        <v>0</v>
      </c>
      <c r="Z245" s="7" t="n">
        <f aca="false">Z207*Z210/MAX(Z209,0.000001)*$E$27*$E$33</f>
        <v>0</v>
      </c>
      <c r="AA245" s="7" t="n">
        <f aca="false">AA207*AA210/MAX(AA209,0.000001)*$E$27*$E$33</f>
        <v>0</v>
      </c>
      <c r="AB245" s="7" t="n">
        <f aca="false">AB207*AB210/MAX(AB209,0.000001)*$E$27*$E$33</f>
        <v>0</v>
      </c>
      <c r="AC245" s="7" t="n">
        <f aca="false">AC207*AC210/MAX(AC209,0.000001)*$E$27*$E$33</f>
        <v>0</v>
      </c>
      <c r="AD245" s="7" t="n">
        <f aca="false">AD207*AD210/MAX(AD209,0.000001)*$E$27*$E$33</f>
        <v>0</v>
      </c>
      <c r="AE245" s="7" t="n">
        <f aca="false">AE207*AE210/MAX(AE209,0.000001)*$E$27*$E$33</f>
        <v>0</v>
      </c>
      <c r="AF245" s="7" t="n">
        <f aca="false">AF207*AF210/MAX(AF209,0.000001)*$E$27*$E$33</f>
        <v>0</v>
      </c>
      <c r="AG245" s="7" t="n">
        <f aca="false">AG207*AG210/MAX(AG209,0.000001)*$E$27*$E$33</f>
        <v>0</v>
      </c>
      <c r="AH245" s="7" t="n">
        <f aca="false">AH207*AH210/MAX(AH209,0.000001)*$E$27*$E$33</f>
        <v>0</v>
      </c>
      <c r="AI245" s="7" t="n">
        <f aca="false">AI207*AI210/MAX(AI209,0.000001)*$E$27*$E$33</f>
        <v>0</v>
      </c>
      <c r="AJ245" s="7" t="n">
        <f aca="false">AJ207*AJ210/MAX(AJ209,0.000001)*$E$27*$E$33</f>
        <v>0</v>
      </c>
      <c r="AK245" s="7" t="n">
        <f aca="false">AK207*AK210/MAX(AK209,0.000001)*$E$27*$E$33</f>
        <v>0</v>
      </c>
      <c r="AL245" s="7" t="n">
        <f aca="false">AL207*AL210/MAX(AL209,0.000001)*$E$27*$E$33</f>
        <v>0</v>
      </c>
      <c r="AM245" s="7" t="n">
        <f aca="false">AM207*AM210/MAX(AM209,0.000001)*$E$27*$E$33</f>
        <v>0</v>
      </c>
      <c r="AN245" s="7" t="n">
        <f aca="false">AN207*AN210/MAX(AN209,0.000001)*$E$27*$E$33</f>
        <v>0</v>
      </c>
      <c r="AO245" s="7" t="n">
        <f aca="false">AO207*AO210/MAX(AO209,0.000001)*$E$27*$E$33</f>
        <v>0</v>
      </c>
      <c r="AP245" s="7" t="n">
        <f aca="false">AP207*AP210/MAX(AP209,0.000001)*$E$27*$E$33</f>
        <v>0</v>
      </c>
      <c r="AQ245" s="7" t="n">
        <f aca="false">AQ207*AQ210/MAX(AQ209,0.000001)*$E$27*$E$33</f>
        <v>0</v>
      </c>
      <c r="AR245" s="7" t="n">
        <f aca="false">AR207*AR210/MAX(AR209,0.000001)*$E$27*$E$33</f>
        <v>0</v>
      </c>
      <c r="AS245" s="7" t="n">
        <f aca="false">AS207*AS210/MAX(AS209,0.000001)*$E$27*$E$33</f>
        <v>0</v>
      </c>
      <c r="AT245" s="7" t="n">
        <f aca="false">AT207*AT210/MAX(AT209,0.000001)*$E$27*$E$33</f>
        <v>0</v>
      </c>
      <c r="AU245" s="7" t="n">
        <f aca="false">AU207*AU210/MAX(AU209,0.000001)*$E$27*$E$33</f>
        <v>0</v>
      </c>
      <c r="AV245" s="7" t="n">
        <f aca="false">AV207*AV210/MAX(AV209,0.000001)*$E$27*$E$33</f>
        <v>0</v>
      </c>
      <c r="AW245" s="7" t="n">
        <f aca="false">AW207*AW210/MAX(AW209,0.000001)*$E$27*$E$33</f>
        <v>0</v>
      </c>
      <c r="AX245" s="7" t="n">
        <f aca="false">AX207*AX210/MAX(AX209,0.000001)*$E$27*$E$33</f>
        <v>0</v>
      </c>
      <c r="AY245" s="7" t="n">
        <f aca="false">AY207*AY210/MAX(AY209,0.000001)*$E$27*$E$33</f>
        <v>0</v>
      </c>
      <c r="AZ245" s="7" t="n">
        <f aca="false">AZ207*AZ210/MAX(AZ209,0.000001)*$E$27*$E$33</f>
        <v>0</v>
      </c>
      <c r="BA245" s="7" t="n">
        <f aca="false">BA207*BA210/MAX(BA209,0.000001)*$E$27*$E$33</f>
        <v>0</v>
      </c>
      <c r="BB245" s="7" t="n">
        <f aca="false">BB207*BB210/MAX(BB209,0.000001)*$E$27*$E$33</f>
        <v>0</v>
      </c>
      <c r="BC245" s="7" t="n">
        <f aca="false">BC207*BC210/MAX(BC209,0.000001)*$E$27*$E$33</f>
        <v>0</v>
      </c>
      <c r="BD245" s="7" t="n">
        <f aca="false">BD207*BD210/MAX(BD209,0.000001)*$E$27*$E$33</f>
        <v>0</v>
      </c>
      <c r="BE245" s="7" t="n">
        <f aca="false">BE207*BE210/MAX(BE209,0.000001)*$E$27*$E$33</f>
        <v>0</v>
      </c>
      <c r="BF245" s="7" t="n">
        <f aca="false">BF207*BF210/MAX(BF209,0.000001)*$E$27*$E$33</f>
        <v>0</v>
      </c>
      <c r="BG245" s="7" t="n">
        <f aca="false">BG207*BG210/MAX(BG209,0.000001)*$E$27*$E$33</f>
        <v>0</v>
      </c>
      <c r="BH245" s="7" t="n">
        <f aca="false">BH207*BH210/MAX(BH209,0.000001)*$E$27*$E$33</f>
        <v>0</v>
      </c>
      <c r="BI245" s="7" t="n">
        <f aca="false">BI207*BI210/MAX(BI209,0.000001)*$E$27*$E$33</f>
        <v>0</v>
      </c>
      <c r="BJ245" s="7" t="n">
        <f aca="false">BJ207*BJ210/MAX(BJ209,0.000001)*$E$27*$E$33</f>
        <v>0</v>
      </c>
      <c r="BK245" s="7" t="n">
        <f aca="false">BK207*BK210/MAX(BK209,0.000001)*$E$27*$E$33</f>
        <v>0</v>
      </c>
    </row>
    <row r="246" customFormat="false" ht="15" hidden="false" customHeight="false" outlineLevel="0" collapsed="false">
      <c r="A246" s="0" t="s">
        <v>221</v>
      </c>
      <c r="D246" s="7" t="n">
        <f aca="false">$E$57</f>
        <v>40</v>
      </c>
      <c r="E246" s="7" t="n">
        <f aca="false">$E$57</f>
        <v>40</v>
      </c>
      <c r="F246" s="7" t="n">
        <f aca="false">$E$57</f>
        <v>40</v>
      </c>
      <c r="G246" s="7" t="n">
        <f aca="false">$E$57</f>
        <v>40</v>
      </c>
      <c r="H246" s="7" t="n">
        <f aca="false">$E$57</f>
        <v>40</v>
      </c>
      <c r="I246" s="7" t="n">
        <f aca="false">$E$57</f>
        <v>40</v>
      </c>
      <c r="J246" s="7" t="n">
        <f aca="false">$E$57</f>
        <v>40</v>
      </c>
      <c r="K246" s="7" t="n">
        <f aca="false">$E$57</f>
        <v>40</v>
      </c>
      <c r="L246" s="7" t="n">
        <f aca="false">$E$57</f>
        <v>40</v>
      </c>
      <c r="M246" s="7" t="n">
        <f aca="false">$E$57</f>
        <v>40</v>
      </c>
      <c r="N246" s="7" t="n">
        <f aca="false">$E$57</f>
        <v>40</v>
      </c>
      <c r="O246" s="7" t="n">
        <f aca="false">$E$57</f>
        <v>40</v>
      </c>
      <c r="P246" s="7" t="n">
        <f aca="false">$E$57</f>
        <v>40</v>
      </c>
      <c r="Q246" s="7" t="n">
        <f aca="false">$E$57</f>
        <v>40</v>
      </c>
      <c r="R246" s="7" t="n">
        <f aca="false">$E$57</f>
        <v>40</v>
      </c>
      <c r="S246" s="7" t="n">
        <f aca="false">$E$57</f>
        <v>40</v>
      </c>
      <c r="T246" s="7" t="n">
        <f aca="false">$E$57</f>
        <v>40</v>
      </c>
      <c r="U246" s="7" t="n">
        <f aca="false">$E$57</f>
        <v>40</v>
      </c>
      <c r="V246" s="7" t="n">
        <f aca="false">$E$57</f>
        <v>40</v>
      </c>
      <c r="W246" s="7" t="n">
        <f aca="false">$E$57</f>
        <v>40</v>
      </c>
      <c r="X246" s="7" t="n">
        <f aca="false">$E$57</f>
        <v>40</v>
      </c>
      <c r="Y246" s="7" t="n">
        <f aca="false">$E$57</f>
        <v>40</v>
      </c>
      <c r="Z246" s="7" t="n">
        <f aca="false">$E$57</f>
        <v>40</v>
      </c>
      <c r="AA246" s="7" t="n">
        <f aca="false">$E$57</f>
        <v>40</v>
      </c>
      <c r="AB246" s="7" t="n">
        <f aca="false">$E$57</f>
        <v>40</v>
      </c>
      <c r="AC246" s="7" t="n">
        <f aca="false">$E$57</f>
        <v>40</v>
      </c>
      <c r="AD246" s="7" t="n">
        <f aca="false">$E$57</f>
        <v>40</v>
      </c>
      <c r="AE246" s="7" t="n">
        <f aca="false">$E$57</f>
        <v>40</v>
      </c>
      <c r="AF246" s="7" t="n">
        <f aca="false">$E$57</f>
        <v>40</v>
      </c>
      <c r="AG246" s="7" t="n">
        <f aca="false">$E$57</f>
        <v>40</v>
      </c>
      <c r="AH246" s="7" t="n">
        <f aca="false">$E$57</f>
        <v>40</v>
      </c>
      <c r="AI246" s="7" t="n">
        <f aca="false">$E$57</f>
        <v>40</v>
      </c>
      <c r="AJ246" s="7" t="n">
        <f aca="false">$E$57</f>
        <v>40</v>
      </c>
      <c r="AK246" s="7" t="n">
        <f aca="false">$E$57</f>
        <v>40</v>
      </c>
      <c r="AL246" s="7" t="n">
        <f aca="false">$E$57</f>
        <v>40</v>
      </c>
      <c r="AM246" s="7" t="n">
        <f aca="false">$E$57</f>
        <v>40</v>
      </c>
      <c r="AN246" s="7" t="n">
        <f aca="false">$E$57</f>
        <v>40</v>
      </c>
      <c r="AO246" s="7" t="n">
        <f aca="false">$E$57</f>
        <v>40</v>
      </c>
      <c r="AP246" s="7" t="n">
        <f aca="false">$E$57</f>
        <v>40</v>
      </c>
      <c r="AQ246" s="7" t="n">
        <f aca="false">$E$57</f>
        <v>40</v>
      </c>
      <c r="AR246" s="7" t="n">
        <f aca="false">$E$57</f>
        <v>40</v>
      </c>
      <c r="AS246" s="7" t="n">
        <f aca="false">$E$57</f>
        <v>40</v>
      </c>
      <c r="AT246" s="7" t="n">
        <f aca="false">$E$57</f>
        <v>40</v>
      </c>
      <c r="AU246" s="7" t="n">
        <f aca="false">$E$57</f>
        <v>40</v>
      </c>
      <c r="AV246" s="7" t="n">
        <f aca="false">$E$57</f>
        <v>40</v>
      </c>
      <c r="AW246" s="7" t="n">
        <f aca="false">$E$57</f>
        <v>40</v>
      </c>
      <c r="AX246" s="7" t="n">
        <f aca="false">$E$57</f>
        <v>40</v>
      </c>
      <c r="AY246" s="7" t="n">
        <f aca="false">$E$57</f>
        <v>40</v>
      </c>
      <c r="AZ246" s="7" t="n">
        <f aca="false">$E$57</f>
        <v>40</v>
      </c>
      <c r="BA246" s="7" t="n">
        <f aca="false">$E$57</f>
        <v>40</v>
      </c>
      <c r="BB246" s="7" t="n">
        <f aca="false">$E$57</f>
        <v>40</v>
      </c>
      <c r="BC246" s="7" t="n">
        <f aca="false">$E$57</f>
        <v>40</v>
      </c>
      <c r="BD246" s="7" t="n">
        <f aca="false">$E$57</f>
        <v>40</v>
      </c>
      <c r="BE246" s="7" t="n">
        <f aca="false">$E$57</f>
        <v>40</v>
      </c>
      <c r="BF246" s="7" t="n">
        <f aca="false">$E$57</f>
        <v>40</v>
      </c>
      <c r="BG246" s="7" t="n">
        <f aca="false">$E$57</f>
        <v>40</v>
      </c>
      <c r="BH246" s="7" t="n">
        <f aca="false">$E$57</f>
        <v>40</v>
      </c>
      <c r="BI246" s="7" t="n">
        <f aca="false">$E$57</f>
        <v>40</v>
      </c>
      <c r="BJ246" s="7" t="n">
        <f aca="false">$E$57</f>
        <v>40</v>
      </c>
      <c r="BK246" s="7" t="n">
        <f aca="false">$E$57</f>
        <v>40</v>
      </c>
    </row>
    <row r="247" customFormat="false" ht="15" hidden="false" customHeight="false" outlineLevel="0" collapsed="false">
      <c r="A247" s="0" t="s">
        <v>222</v>
      </c>
      <c r="D247" s="7" t="n">
        <f aca="false">$E$58</f>
        <v>0</v>
      </c>
      <c r="E247" s="7" t="n">
        <f aca="false">$E$58</f>
        <v>0</v>
      </c>
      <c r="F247" s="7" t="n">
        <f aca="false">$E$58</f>
        <v>0</v>
      </c>
      <c r="G247" s="7" t="n">
        <f aca="false">$E$58</f>
        <v>0</v>
      </c>
      <c r="H247" s="7" t="n">
        <f aca="false">$E$58</f>
        <v>0</v>
      </c>
      <c r="I247" s="7" t="n">
        <f aca="false">$E$58</f>
        <v>0</v>
      </c>
      <c r="J247" s="7" t="n">
        <f aca="false">$E$58</f>
        <v>0</v>
      </c>
      <c r="K247" s="7" t="n">
        <f aca="false">$E$58</f>
        <v>0</v>
      </c>
      <c r="L247" s="7" t="n">
        <f aca="false">$E$58</f>
        <v>0</v>
      </c>
      <c r="M247" s="7" t="n">
        <f aca="false">$E$58</f>
        <v>0</v>
      </c>
      <c r="N247" s="7" t="n">
        <f aca="false">$E$58</f>
        <v>0</v>
      </c>
      <c r="O247" s="7" t="n">
        <f aca="false">$E$58</f>
        <v>0</v>
      </c>
      <c r="P247" s="7" t="n">
        <f aca="false">$E$58</f>
        <v>0</v>
      </c>
      <c r="Q247" s="7" t="n">
        <f aca="false">$E$58</f>
        <v>0</v>
      </c>
      <c r="R247" s="7" t="n">
        <f aca="false">$E$58</f>
        <v>0</v>
      </c>
      <c r="S247" s="7" t="n">
        <f aca="false">$E$58</f>
        <v>0</v>
      </c>
      <c r="T247" s="7" t="n">
        <f aca="false">$E$58</f>
        <v>0</v>
      </c>
      <c r="U247" s="7" t="n">
        <f aca="false">$E$58</f>
        <v>0</v>
      </c>
      <c r="V247" s="7" t="n">
        <f aca="false">$E$58</f>
        <v>0</v>
      </c>
      <c r="W247" s="7" t="n">
        <f aca="false">$E$58</f>
        <v>0</v>
      </c>
      <c r="X247" s="7" t="n">
        <f aca="false">$E$58</f>
        <v>0</v>
      </c>
      <c r="Y247" s="7" t="n">
        <f aca="false">$E$58</f>
        <v>0</v>
      </c>
      <c r="Z247" s="7" t="n">
        <f aca="false">$E$58</f>
        <v>0</v>
      </c>
      <c r="AA247" s="7" t="n">
        <f aca="false">$E$58</f>
        <v>0</v>
      </c>
      <c r="AB247" s="7" t="n">
        <f aca="false">$E$58</f>
        <v>0</v>
      </c>
      <c r="AC247" s="7" t="n">
        <f aca="false">$E$58</f>
        <v>0</v>
      </c>
      <c r="AD247" s="7" t="n">
        <f aca="false">$E$58</f>
        <v>0</v>
      </c>
      <c r="AE247" s="7" t="n">
        <f aca="false">$E$58</f>
        <v>0</v>
      </c>
      <c r="AF247" s="7" t="n">
        <f aca="false">$E$58</f>
        <v>0</v>
      </c>
      <c r="AG247" s="7" t="n">
        <f aca="false">$E$58</f>
        <v>0</v>
      </c>
      <c r="AH247" s="7" t="n">
        <f aca="false">$E$58</f>
        <v>0</v>
      </c>
      <c r="AI247" s="7" t="n">
        <f aca="false">$E$58</f>
        <v>0</v>
      </c>
      <c r="AJ247" s="7" t="n">
        <f aca="false">$E$58</f>
        <v>0</v>
      </c>
      <c r="AK247" s="7" t="n">
        <f aca="false">$E$58</f>
        <v>0</v>
      </c>
      <c r="AL247" s="7" t="n">
        <f aca="false">$E$58</f>
        <v>0</v>
      </c>
      <c r="AM247" s="7" t="n">
        <f aca="false">$E$58</f>
        <v>0</v>
      </c>
      <c r="AN247" s="7" t="n">
        <f aca="false">$E$58</f>
        <v>0</v>
      </c>
      <c r="AO247" s="7" t="n">
        <f aca="false">$E$58</f>
        <v>0</v>
      </c>
      <c r="AP247" s="7" t="n">
        <f aca="false">$E$58</f>
        <v>0</v>
      </c>
      <c r="AQ247" s="7" t="n">
        <f aca="false">$E$58</f>
        <v>0</v>
      </c>
      <c r="AR247" s="7" t="n">
        <f aca="false">$E$58</f>
        <v>0</v>
      </c>
      <c r="AS247" s="7" t="n">
        <f aca="false">$E$58</f>
        <v>0</v>
      </c>
      <c r="AT247" s="7" t="n">
        <f aca="false">$E$58</f>
        <v>0</v>
      </c>
      <c r="AU247" s="7" t="n">
        <f aca="false">$E$58</f>
        <v>0</v>
      </c>
      <c r="AV247" s="7" t="n">
        <f aca="false">$E$58</f>
        <v>0</v>
      </c>
      <c r="AW247" s="7" t="n">
        <f aca="false">$E$58</f>
        <v>0</v>
      </c>
      <c r="AX247" s="7" t="n">
        <f aca="false">$E$58</f>
        <v>0</v>
      </c>
      <c r="AY247" s="7" t="n">
        <f aca="false">$E$58</f>
        <v>0</v>
      </c>
      <c r="AZ247" s="7" t="n">
        <f aca="false">$E$58</f>
        <v>0</v>
      </c>
      <c r="BA247" s="7" t="n">
        <f aca="false">$E$58</f>
        <v>0</v>
      </c>
      <c r="BB247" s="7" t="n">
        <f aca="false">$E$58</f>
        <v>0</v>
      </c>
      <c r="BC247" s="7" t="n">
        <f aca="false">$E$58</f>
        <v>0</v>
      </c>
      <c r="BD247" s="7" t="n">
        <f aca="false">$E$58</f>
        <v>0</v>
      </c>
      <c r="BE247" s="7" t="n">
        <f aca="false">$E$58</f>
        <v>0</v>
      </c>
      <c r="BF247" s="7" t="n">
        <f aca="false">$E$58</f>
        <v>0</v>
      </c>
      <c r="BG247" s="7" t="n">
        <f aca="false">$E$58</f>
        <v>0</v>
      </c>
      <c r="BH247" s="7" t="n">
        <f aca="false">$E$58</f>
        <v>0</v>
      </c>
      <c r="BI247" s="7" t="n">
        <f aca="false">$E$58</f>
        <v>0</v>
      </c>
      <c r="BJ247" s="7" t="n">
        <f aca="false">$E$58</f>
        <v>0</v>
      </c>
      <c r="BK247" s="7" t="n">
        <f aca="false">$E$58</f>
        <v>0</v>
      </c>
    </row>
    <row r="248" customFormat="false" ht="15" hidden="false" customHeight="false" outlineLevel="0" collapsed="false">
      <c r="A248" s="6" t="s">
        <v>223</v>
      </c>
      <c r="D248" s="7" t="n">
        <f aca="false">D234-D241-D242-D243-D244-D245-D246-D247</f>
        <v>121.363476617039</v>
      </c>
      <c r="E248" s="7" t="n">
        <f aca="false">E234-E241-E242-E243-E244-E245-E246-E247</f>
        <v>365.675396935739</v>
      </c>
      <c r="F248" s="7" t="n">
        <f aca="false">F234-F241-F242-F243-F244-F245-F246-F247</f>
        <v>634.12717820818</v>
      </c>
      <c r="G248" s="7" t="n">
        <f aca="false">G234-G241-G242-G243-G244-G245-G246-G247</f>
        <v>930.535174650698</v>
      </c>
      <c r="H248" s="7" t="n">
        <f aca="false">H234-H241-H242-H243-H244-H245-H246-H247</f>
        <v>1259.25114816123</v>
      </c>
      <c r="I248" s="7" t="n">
        <f aca="false">I234-I241-I242-I243-I244-I245-I246-I247</f>
        <v>1625.22968419427</v>
      </c>
      <c r="J248" s="7" t="n">
        <f aca="false">J234-J241-J242-J243-J244-J245-J246-J247</f>
        <v>2034.107723897</v>
      </c>
      <c r="K248" s="7" t="n">
        <f aca="false">K234-K241-K242-K243-K244-K245-K246-K247</f>
        <v>2492.2970802373</v>
      </c>
      <c r="L248" s="7" t="n">
        <f aca="false">L234-L241-L242-L243-L244-L245-L246-L247</f>
        <v>3007.09117747845</v>
      </c>
      <c r="M248" s="7" t="n">
        <f aca="false">M234-M241-M242-M243-M244-M245-M246-M247</f>
        <v>3586.78760186187</v>
      </c>
      <c r="N248" s="7" t="n">
        <f aca="false">N234-N241-N242-N243-N244-N245-N246-N247</f>
        <v>4240.82839606256</v>
      </c>
      <c r="O248" s="7" t="n">
        <f aca="false">O234-O241-O242-O243-O244-O245-O246-O247</f>
        <v>4979.9603861343</v>
      </c>
      <c r="P248" s="7" t="n">
        <f aca="false">P234-P241-P242-P243-P244-P245-P246-P247</f>
        <v>5816.41820991349</v>
      </c>
      <c r="Q248" s="7" t="n">
        <f aca="false">Q234-Q241-Q242-Q243-Q244-Q245-Q246-Q247</f>
        <v>6764.13313131158</v>
      </c>
      <c r="R248" s="7" t="n">
        <f aca="false">R234-R241-R242-R243-R244-R245-R246-R247</f>
        <v>7838.97118593671</v>
      </c>
      <c r="S248" s="7" t="n">
        <f aca="false">S234-S241-S242-S243-S244-S245-S246-S247</f>
        <v>9059.00472021273</v>
      </c>
      <c r="T248" s="7" t="n">
        <f aca="false">T234-T241-T242-T243-T244-T245-T246-T247</f>
        <v>10444.8219690604</v>
      </c>
      <c r="U248" s="7" t="n">
        <f aca="false">U234-U241-U242-U243-U244-U245-U246-U247</f>
        <v>12019.8799773899</v>
      </c>
      <c r="V248" s="7" t="n">
        <f aca="false">V234-V241-V242-V243-V244-V245-V246-V247</f>
        <v>13810.9069202475</v>
      </c>
      <c r="W248" s="7" t="n">
        <f aca="false">W234-W241-W242-W243-W244-W245-W246-W247</f>
        <v>15848.360728884</v>
      </c>
      <c r="X248" s="7" t="n">
        <f aca="false">X234-X241-X242-X243-X244-X245-X246-X247</f>
        <v>18166.9519003084</v>
      </c>
      <c r="Y248" s="7" t="n">
        <f aca="false">Y234-Y241-Y242-Y243-Y244-Y245-Y246-Y247</f>
        <v>20806.2394729947</v>
      </c>
      <c r="Z248" s="7" t="n">
        <f aca="false">Z234-Z241-Z242-Z243-Z244-Z245-Z246-Z247</f>
        <v>23811.3104105165</v>
      </c>
      <c r="AA248" s="7" t="n">
        <f aca="false">AA234-AA241-AA242-AA243-AA244-AA245-AA246-AA247</f>
        <v>27233.554069763</v>
      </c>
      <c r="AB248" s="7" t="n">
        <f aca="false">AB234-AB241-AB242-AB243-AB244-AB245-AB246-AB247</f>
        <v>31131.545065809</v>
      </c>
      <c r="AC248" s="7" t="n">
        <f aca="false">AC234-AC241-AC242-AC243-AC244-AC245-AC246-AC247</f>
        <v>35572.0497096466</v>
      </c>
      <c r="AD248" s="7" t="n">
        <f aca="false">AD234-AD241-AD242-AD243-AD244-AD245-AD246-AD247</f>
        <v>40631.173319934</v>
      </c>
      <c r="AE248" s="7" t="n">
        <f aca="false">AE234-AE241-AE242-AE243-AE244-AE245-AE246-AE247</f>
        <v>46395.6681322459</v>
      </c>
      <c r="AF248" s="7" t="n">
        <f aca="false">AF234-AF241-AF242-AF243-AF244-AF245-AF246-AF247</f>
        <v>52964.4242906835</v>
      </c>
      <c r="AG248" s="7" t="n">
        <f aca="false">AG234-AG241-AG242-AG243-AG244-AG245-AG246-AG247</f>
        <v>60450.1695546182</v>
      </c>
      <c r="AH248" s="7" t="n">
        <f aca="false">AH234-AH241-AH242-AH243-AH244-AH245-AH246-AH247</f>
        <v>68981.4069419311</v>
      </c>
      <c r="AI248" s="7" t="n">
        <f aca="false">AI234-AI241-AI242-AI243-AI244-AI245-AI246-AI247</f>
        <v>78704.6236210772</v>
      </c>
      <c r="AJ248" s="7" t="n">
        <f aca="false">AJ234-AJ241-AJ242-AJ243-AJ244-AJ245-AJ246-AJ247</f>
        <v>89786.8090279912</v>
      </c>
      <c r="AK248" s="7" t="n">
        <f aca="false">AK234-AK241-AK242-AK243-AK244-AK245-AK246-AK247</f>
        <v>102418.325500448</v>
      </c>
      <c r="AL248" s="7" t="n">
        <f aca="false">AL234-AL241-AL242-AL243-AL244-AL245-AL246-AL247</f>
        <v>116816.180783405</v>
      </c>
      <c r="AM248" s="7" t="n">
        <f aca="false">AM234-AM241-AM242-AM243-AM244-AM245-AM246-AM247</f>
        <v>133227.758668288</v>
      </c>
      <c r="AN248" s="7" t="n">
        <f aca="false">AN234-AN241-AN242-AN243-AN244-AN245-AN246-AN247</f>
        <v>149315.411525883</v>
      </c>
      <c r="AO248" s="7" t="n">
        <f aca="false">AO234-AO241-AO242-AO243-AO244-AO245-AO246-AO247</f>
        <v>164649.624532166</v>
      </c>
      <c r="AP248" s="7" t="n">
        <f aca="false">AP234-AP241-AP242-AP243-AP244-AP245-AP246-AP247</f>
        <v>179261.51433749</v>
      </c>
      <c r="AQ248" s="7" t="n">
        <f aca="false">AQ234-AQ241-AQ242-AQ243-AQ244-AQ245-AQ246-AQ247</f>
        <v>193185.758862109</v>
      </c>
      <c r="AR248" s="7" t="n">
        <f aca="false">AR234-AR241-AR242-AR243-AR244-AR245-AR246-AR247</f>
        <v>206455.759025668</v>
      </c>
      <c r="AS248" s="7" t="n">
        <f aca="false">AS234-AS241-AS242-AS243-AS244-AS245-AS246-AS247</f>
        <v>219103.533758066</v>
      </c>
      <c r="AT248" s="7" t="n">
        <f aca="false">AT234-AT241-AT242-AT243-AT244-AT245-AT246-AT247</f>
        <v>231159.674185136</v>
      </c>
      <c r="AU248" s="7" t="n">
        <f aca="false">AU234-AU241-AU242-AU243-AU244-AU245-AU246-AU247</f>
        <v>242653.337586918</v>
      </c>
      <c r="AV248" s="7" t="n">
        <f aca="false">AV234-AV241-AV242-AV243-AV244-AV245-AV246-AV247</f>
        <v>253612.26764933</v>
      </c>
      <c r="AW248" s="7" t="n">
        <f aca="false">AW234-AW241-AW242-AW243-AW244-AW245-AW246-AW247</f>
        <v>264062.831669642</v>
      </c>
      <c r="AX248" s="7" t="n">
        <f aca="false">AX234-AX241-AX242-AX243-AX244-AX245-AX246-AX247</f>
        <v>274030.068267736</v>
      </c>
      <c r="AY248" s="7" t="n">
        <f aca="false">AY234-AY241-AY242-AY243-AY244-AY245-AY246-AY247</f>
        <v>283537.741173527</v>
      </c>
      <c r="AZ248" s="7" t="n">
        <f aca="false">AZ234-AZ241-AZ242-AZ243-AZ244-AZ245-AZ246-AZ247</f>
        <v>292608.396068413</v>
      </c>
      <c r="BA248" s="7" t="n">
        <f aca="false">BA234-BA241-BA242-BA243-BA244-BA245-BA246-BA247</f>
        <v>301263.418438919</v>
      </c>
      <c r="BB248" s="7" t="n">
        <f aca="false">BB234-BB241-BB242-BB243-BB244-BB245-BB246-BB247</f>
        <v>309523.091082169</v>
      </c>
      <c r="BC248" s="7" t="n">
        <f aca="false">BC234-BC241-BC242-BC243-BC244-BC245-BC246-BC247</f>
        <v>317406.650375524</v>
      </c>
      <c r="BD248" s="7" t="n">
        <f aca="false">BD234-BD241-BD242-BD243-BD244-BD245-BD246-BD247</f>
        <v>324932.34074952</v>
      </c>
      <c r="BE248" s="7" t="n">
        <f aca="false">BE234-BE241-BE242-BE243-BE244-BE245-BE246-BE247</f>
        <v>332117.46702816</v>
      </c>
      <c r="BF248" s="7" t="n">
        <f aca="false">BF234-BF241-BF242-BF243-BF244-BF245-BF246-BF247</f>
        <v>338978.444454504</v>
      </c>
      <c r="BG248" s="7" t="n">
        <f aca="false">BG234-BG241-BG242-BG243-BG244-BG245-BG246-BG247</f>
        <v>345530.846323879</v>
      </c>
      <c r="BH248" s="7" t="n">
        <f aca="false">BH234-BH241-BH242-BH243-BH244-BH245-BH246-BH247</f>
        <v>351789.449216968</v>
      </c>
      <c r="BI248" s="7" t="n">
        <f aca="false">BI234-BI241-BI242-BI243-BI244-BI245-BI246-BI247</f>
        <v>357768.275871054</v>
      </c>
      <c r="BJ248" s="7" t="n">
        <f aca="false">BJ234-BJ241-BJ242-BJ243-BJ244-BJ245-BJ246-BJ247</f>
        <v>363480.635757219</v>
      </c>
      <c r="BK248" s="7" t="n">
        <f aca="false">BK234-BK241-BK242-BK243-BK244-BK245-BK246-BK247</f>
        <v>368939.163449346</v>
      </c>
    </row>
    <row r="249" customFormat="false" ht="15" hidden="false" customHeight="false" outlineLevel="0" collapsed="false">
      <c r="A249" s="0" t="s">
        <v>224</v>
      </c>
      <c r="C249" s="0" t="n">
        <v>0</v>
      </c>
      <c r="D249" s="7" t="n">
        <f aca="false">C249+D248</f>
        <v>121.363476617039</v>
      </c>
      <c r="E249" s="7" t="n">
        <f aca="false">D249+E248</f>
        <v>487.038873552778</v>
      </c>
      <c r="F249" s="7" t="n">
        <f aca="false">E249+F248</f>
        <v>1121.16605176096</v>
      </c>
      <c r="G249" s="7" t="n">
        <f aca="false">F249+G248</f>
        <v>2051.70122641166</v>
      </c>
      <c r="H249" s="7" t="n">
        <f aca="false">G249+H248</f>
        <v>3310.95237457288</v>
      </c>
      <c r="I249" s="7" t="n">
        <f aca="false">H249+I248</f>
        <v>4936.18205876715</v>
      </c>
      <c r="J249" s="7" t="n">
        <f aca="false">I249+J248</f>
        <v>6970.28978266415</v>
      </c>
      <c r="K249" s="7" t="n">
        <f aca="false">J249+K248</f>
        <v>9462.58686290145</v>
      </c>
      <c r="L249" s="7" t="n">
        <f aca="false">K249+L248</f>
        <v>12469.6780403799</v>
      </c>
      <c r="M249" s="7" t="n">
        <f aca="false">L249+M248</f>
        <v>16056.4656422418</v>
      </c>
      <c r="N249" s="7" t="n">
        <f aca="false">M249+N248</f>
        <v>20297.2940383043</v>
      </c>
      <c r="O249" s="7" t="n">
        <f aca="false">N249+O248</f>
        <v>25277.2544244386</v>
      </c>
      <c r="P249" s="7" t="n">
        <f aca="false">O249+P248</f>
        <v>31093.6726343521</v>
      </c>
      <c r="Q249" s="7" t="n">
        <f aca="false">P249+Q248</f>
        <v>37857.8057656637</v>
      </c>
      <c r="R249" s="7" t="n">
        <f aca="false">Q249+R248</f>
        <v>45696.7769516004</v>
      </c>
      <c r="S249" s="7" t="n">
        <f aca="false">R249+S248</f>
        <v>54755.7816718131</v>
      </c>
      <c r="T249" s="7" t="n">
        <f aca="false">S249+T248</f>
        <v>65200.6036408735</v>
      </c>
      <c r="U249" s="7" t="n">
        <f aca="false">T249+U248</f>
        <v>77220.4836182634</v>
      </c>
      <c r="V249" s="7" t="n">
        <f aca="false">U249+V248</f>
        <v>91031.3905385109</v>
      </c>
      <c r="W249" s="7" t="n">
        <f aca="false">V249+W248</f>
        <v>106879.751267395</v>
      </c>
      <c r="X249" s="7" t="n">
        <f aca="false">W249+X248</f>
        <v>125046.703167703</v>
      </c>
      <c r="Y249" s="7" t="n">
        <f aca="false">X249+Y248</f>
        <v>145852.942640698</v>
      </c>
      <c r="Z249" s="7" t="n">
        <f aca="false">Y249+Z248</f>
        <v>169664.253051215</v>
      </c>
      <c r="AA249" s="7" t="n">
        <f aca="false">Z249+AA248</f>
        <v>196897.807120978</v>
      </c>
      <c r="AB249" s="7" t="n">
        <f aca="false">AA249+AB248</f>
        <v>228029.352186787</v>
      </c>
      <c r="AC249" s="7" t="n">
        <f aca="false">AB249+AC248</f>
        <v>263601.401896433</v>
      </c>
      <c r="AD249" s="7" t="n">
        <f aca="false">AC249+AD248</f>
        <v>304232.575216367</v>
      </c>
      <c r="AE249" s="7" t="n">
        <f aca="false">AD249+AE248</f>
        <v>350628.243348613</v>
      </c>
      <c r="AF249" s="7" t="n">
        <f aca="false">AE249+AF248</f>
        <v>403592.667639297</v>
      </c>
      <c r="AG249" s="7" t="n">
        <f aca="false">AF249+AG248</f>
        <v>464042.837193915</v>
      </c>
      <c r="AH249" s="7" t="n">
        <f aca="false">AG249+AH248</f>
        <v>533024.244135846</v>
      </c>
      <c r="AI249" s="7" t="n">
        <f aca="false">AH249+AI248</f>
        <v>611728.867756923</v>
      </c>
      <c r="AJ249" s="7" t="n">
        <f aca="false">AI249+AJ248</f>
        <v>701515.676784914</v>
      </c>
      <c r="AK249" s="7" t="n">
        <f aca="false">AJ249+AK248</f>
        <v>803934.002285363</v>
      </c>
      <c r="AL249" s="7" t="n">
        <f aca="false">AK249+AL248</f>
        <v>920750.183068767</v>
      </c>
      <c r="AM249" s="7" t="n">
        <f aca="false">AL249+AM248</f>
        <v>1053977.94173706</v>
      </c>
      <c r="AN249" s="7" t="n">
        <f aca="false">AM249+AN248</f>
        <v>1203293.35326294</v>
      </c>
      <c r="AO249" s="7" t="n">
        <f aca="false">AN249+AO248</f>
        <v>1367942.9777951</v>
      </c>
      <c r="AP249" s="7" t="n">
        <f aca="false">AO249+AP248</f>
        <v>1547204.49213259</v>
      </c>
      <c r="AQ249" s="7" t="n">
        <f aca="false">AP249+AQ248</f>
        <v>1740390.2509947</v>
      </c>
      <c r="AR249" s="7" t="n">
        <f aca="false">AQ249+AR248</f>
        <v>1946846.01002037</v>
      </c>
      <c r="AS249" s="7" t="n">
        <f aca="false">AR249+AS248</f>
        <v>2165949.54377844</v>
      </c>
      <c r="AT249" s="7" t="n">
        <f aca="false">AS249+AT248</f>
        <v>2397109.21796357</v>
      </c>
      <c r="AU249" s="7" t="n">
        <f aca="false">AT249+AU248</f>
        <v>2639762.55555049</v>
      </c>
      <c r="AV249" s="7" t="n">
        <f aca="false">AU249+AV248</f>
        <v>2893374.82319982</v>
      </c>
      <c r="AW249" s="7" t="n">
        <f aca="false">AV249+AW248</f>
        <v>3157437.65486946</v>
      </c>
      <c r="AX249" s="7" t="n">
        <f aca="false">AW249+AX248</f>
        <v>3431467.7231372</v>
      </c>
      <c r="AY249" s="7" t="n">
        <f aca="false">AX249+AY248</f>
        <v>3715005.46431073</v>
      </c>
      <c r="AZ249" s="7" t="n">
        <f aca="false">AY249+AZ248</f>
        <v>4007613.86037914</v>
      </c>
      <c r="BA249" s="7" t="n">
        <f aca="false">AZ249+BA248</f>
        <v>4308877.27881806</v>
      </c>
      <c r="BB249" s="7" t="n">
        <f aca="false">BA249+BB248</f>
        <v>4618400.36990023</v>
      </c>
      <c r="BC249" s="7" t="n">
        <f aca="false">BB249+BC248</f>
        <v>4935807.02027575</v>
      </c>
      <c r="BD249" s="7" t="n">
        <f aca="false">BC249+BD248</f>
        <v>5260739.36102527</v>
      </c>
      <c r="BE249" s="7" t="n">
        <f aca="false">BD249+BE248</f>
        <v>5592856.82805343</v>
      </c>
      <c r="BF249" s="7" t="n">
        <f aca="false">BE249+BF248</f>
        <v>5931835.27250793</v>
      </c>
      <c r="BG249" s="7" t="n">
        <f aca="false">BF249+BG248</f>
        <v>6277366.11883181</v>
      </c>
      <c r="BH249" s="7" t="n">
        <f aca="false">BG249+BH248</f>
        <v>6629155.56804878</v>
      </c>
      <c r="BI249" s="7" t="n">
        <f aca="false">BH249+BI248</f>
        <v>6986923.84391983</v>
      </c>
      <c r="BJ249" s="7" t="n">
        <f aca="false">BI249+BJ248</f>
        <v>7350404.47967705</v>
      </c>
      <c r="BK249" s="7" t="n">
        <f aca="false">BJ249+BK248</f>
        <v>7719343.6431264</v>
      </c>
    </row>
    <row r="250" customFormat="false" ht="15" hidden="false" customHeight="false" outlineLevel="0" collapsed="false">
      <c r="A250" s="0" t="s">
        <v>225</v>
      </c>
      <c r="D250" s="11" t="n">
        <f aca="false">IF(D211&gt;0,(D244+D245)/D211,0)</f>
        <v>0</v>
      </c>
      <c r="E250" s="11" t="n">
        <f aca="false">IF(E211&gt;0,(E244+E245)/E211,0)</f>
        <v>0</v>
      </c>
      <c r="F250" s="11" t="n">
        <f aca="false">IF(F211&gt;0,(F244+F245)/F211,0)</f>
        <v>0</v>
      </c>
      <c r="G250" s="11" t="n">
        <f aca="false">IF(G211&gt;0,(G244+G245)/G211,0)</f>
        <v>0</v>
      </c>
      <c r="H250" s="11" t="n">
        <f aca="false">IF(H211&gt;0,(H244+H245)/H211,0)</f>
        <v>0</v>
      </c>
      <c r="I250" s="11" t="n">
        <f aca="false">IF(I211&gt;0,(I244+I245)/I211,0)</f>
        <v>0</v>
      </c>
      <c r="J250" s="11" t="n">
        <f aca="false">IF(J211&gt;0,(J244+J245)/J211,0)</f>
        <v>0</v>
      </c>
      <c r="K250" s="11" t="n">
        <f aca="false">IF(K211&gt;0,(K244+K245)/K211,0)</f>
        <v>0</v>
      </c>
      <c r="L250" s="11" t="n">
        <f aca="false">IF(L211&gt;0,(L244+L245)/L211,0)</f>
        <v>0</v>
      </c>
      <c r="M250" s="11" t="n">
        <f aca="false">IF(M211&gt;0,(M244+M245)/M211,0)</f>
        <v>0</v>
      </c>
      <c r="N250" s="11" t="n">
        <f aca="false">IF(N211&gt;0,(N244+N245)/N211,0)</f>
        <v>0</v>
      </c>
      <c r="O250" s="11" t="n">
        <f aca="false">IF(O211&gt;0,(O244+O245)/O211,0)</f>
        <v>0</v>
      </c>
      <c r="P250" s="11" t="n">
        <f aca="false">IF(P211&gt;0,(P244+P245)/P211,0)</f>
        <v>0</v>
      </c>
      <c r="Q250" s="11" t="n">
        <f aca="false">IF(Q211&gt;0,(Q244+Q245)/Q211,0)</f>
        <v>0</v>
      </c>
      <c r="R250" s="11" t="n">
        <f aca="false">IF(R211&gt;0,(R244+R245)/R211,0)</f>
        <v>0</v>
      </c>
      <c r="S250" s="11" t="n">
        <f aca="false">IF(S211&gt;0,(S244+S245)/S211,0)</f>
        <v>0</v>
      </c>
      <c r="T250" s="11" t="n">
        <f aca="false">IF(T211&gt;0,(T244+T245)/T211,0)</f>
        <v>0</v>
      </c>
      <c r="U250" s="11" t="n">
        <f aca="false">IF(U211&gt;0,(U244+U245)/U211,0)</f>
        <v>0</v>
      </c>
      <c r="V250" s="11" t="n">
        <f aca="false">IF(V211&gt;0,(V244+V245)/V211,0)</f>
        <v>0</v>
      </c>
      <c r="W250" s="11" t="n">
        <f aca="false">IF(W211&gt;0,(W244+W245)/W211,0)</f>
        <v>0</v>
      </c>
      <c r="X250" s="11" t="n">
        <f aca="false">IF(X211&gt;0,(X244+X245)/X211,0)</f>
        <v>0</v>
      </c>
      <c r="Y250" s="11" t="n">
        <f aca="false">IF(Y211&gt;0,(Y244+Y245)/Y211,0)</f>
        <v>0</v>
      </c>
      <c r="Z250" s="11" t="n">
        <f aca="false">IF(Z211&gt;0,(Z244+Z245)/Z211,0)</f>
        <v>0</v>
      </c>
      <c r="AA250" s="11" t="n">
        <f aca="false">IF(AA211&gt;0,(AA244+AA245)/AA211,0)</f>
        <v>0</v>
      </c>
      <c r="AB250" s="11" t="n">
        <f aca="false">IF(AB211&gt;0,(AB244+AB245)/AB211,0)</f>
        <v>0</v>
      </c>
      <c r="AC250" s="11" t="n">
        <f aca="false">IF(AC211&gt;0,(AC244+AC245)/AC211,0)</f>
        <v>0</v>
      </c>
      <c r="AD250" s="11" t="n">
        <f aca="false">IF(AD211&gt;0,(AD244+AD245)/AD211,0)</f>
        <v>0</v>
      </c>
      <c r="AE250" s="11" t="n">
        <f aca="false">IF(AE211&gt;0,(AE244+AE245)/AE211,0)</f>
        <v>0</v>
      </c>
      <c r="AF250" s="11" t="n">
        <f aca="false">IF(AF211&gt;0,(AF244+AF245)/AF211,0)</f>
        <v>0</v>
      </c>
      <c r="AG250" s="11" t="n">
        <f aca="false">IF(AG211&gt;0,(AG244+AG245)/AG211,0)</f>
        <v>0</v>
      </c>
      <c r="AH250" s="11" t="n">
        <f aca="false">IF(AH211&gt;0,(AH244+AH245)/AH211,0)</f>
        <v>0</v>
      </c>
      <c r="AI250" s="11" t="n">
        <f aca="false">IF(AI211&gt;0,(AI244+AI245)/AI211,0)</f>
        <v>0</v>
      </c>
      <c r="AJ250" s="11" t="n">
        <f aca="false">IF(AJ211&gt;0,(AJ244+AJ245)/AJ211,0)</f>
        <v>0</v>
      </c>
      <c r="AK250" s="11" t="n">
        <f aca="false">IF(AK211&gt;0,(AK244+AK245)/AK211,0)</f>
        <v>0</v>
      </c>
      <c r="AL250" s="11" t="n">
        <f aca="false">IF(AL211&gt;0,(AL244+AL245)/AL211,0)</f>
        <v>0</v>
      </c>
      <c r="AM250" s="11" t="n">
        <f aca="false">IF(AM211&gt;0,(AM244+AM245)/AM211,0)</f>
        <v>0</v>
      </c>
      <c r="AN250" s="11" t="n">
        <f aca="false">IF(AN211&gt;0,(AN244+AN245)/AN211,0)</f>
        <v>0</v>
      </c>
      <c r="AO250" s="11" t="n">
        <f aca="false">IF(AO211&gt;0,(AO244+AO245)/AO211,0)</f>
        <v>0</v>
      </c>
      <c r="AP250" s="11" t="n">
        <f aca="false">IF(AP211&gt;0,(AP244+AP245)/AP211,0)</f>
        <v>0</v>
      </c>
      <c r="AQ250" s="11" t="n">
        <f aca="false">IF(AQ211&gt;0,(AQ244+AQ245)/AQ211,0)</f>
        <v>0</v>
      </c>
      <c r="AR250" s="11" t="n">
        <f aca="false">IF(AR211&gt;0,(AR244+AR245)/AR211,0)</f>
        <v>0</v>
      </c>
      <c r="AS250" s="11" t="n">
        <f aca="false">IF(AS211&gt;0,(AS244+AS245)/AS211,0)</f>
        <v>0</v>
      </c>
      <c r="AT250" s="11" t="n">
        <f aca="false">IF(AT211&gt;0,(AT244+AT245)/AT211,0)</f>
        <v>0</v>
      </c>
      <c r="AU250" s="11" t="n">
        <f aca="false">IF(AU211&gt;0,(AU244+AU245)/AU211,0)</f>
        <v>0</v>
      </c>
      <c r="AV250" s="11" t="n">
        <f aca="false">IF(AV211&gt;0,(AV244+AV245)/AV211,0)</f>
        <v>0</v>
      </c>
      <c r="AW250" s="11" t="n">
        <f aca="false">IF(AW211&gt;0,(AW244+AW245)/AW211,0)</f>
        <v>0</v>
      </c>
      <c r="AX250" s="11" t="n">
        <f aca="false">IF(AX211&gt;0,(AX244+AX245)/AX211,0)</f>
        <v>0</v>
      </c>
      <c r="AY250" s="11" t="n">
        <f aca="false">IF(AY211&gt;0,(AY244+AY245)/AY211,0)</f>
        <v>0</v>
      </c>
      <c r="AZ250" s="11" t="n">
        <f aca="false">IF(AZ211&gt;0,(AZ244+AZ245)/AZ211,0)</f>
        <v>0</v>
      </c>
      <c r="BA250" s="11" t="n">
        <f aca="false">IF(BA211&gt;0,(BA244+BA245)/BA211,0)</f>
        <v>0</v>
      </c>
      <c r="BB250" s="11" t="n">
        <f aca="false">IF(BB211&gt;0,(BB244+BB245)/BB211,0)</f>
        <v>0</v>
      </c>
      <c r="BC250" s="11" t="n">
        <f aca="false">IF(BC211&gt;0,(BC244+BC245)/BC211,0)</f>
        <v>0</v>
      </c>
      <c r="BD250" s="11" t="n">
        <f aca="false">IF(BD211&gt;0,(BD244+BD245)/BD211,0)</f>
        <v>0</v>
      </c>
      <c r="BE250" s="11" t="n">
        <f aca="false">IF(BE211&gt;0,(BE244+BE245)/BE211,0)</f>
        <v>0</v>
      </c>
      <c r="BF250" s="11" t="n">
        <f aca="false">IF(BF211&gt;0,(BF244+BF245)/BF211,0)</f>
        <v>0</v>
      </c>
      <c r="BG250" s="11" t="n">
        <f aca="false">IF(BG211&gt;0,(BG244+BG245)/BG211,0)</f>
        <v>0</v>
      </c>
      <c r="BH250" s="11" t="n">
        <f aca="false">IF(BH211&gt;0,(BH244+BH245)/BH211,0)</f>
        <v>0</v>
      </c>
      <c r="BI250" s="11" t="n">
        <f aca="false">IF(BI211&gt;0,(BI244+BI245)/BI211,0)</f>
        <v>0</v>
      </c>
      <c r="BJ250" s="11" t="n">
        <f aca="false">IF(BJ211&gt;0,(BJ244+BJ245)/BJ211,0)</f>
        <v>0</v>
      </c>
      <c r="BK250" s="11" t="n">
        <f aca="false">IF(BK211&gt;0,(BK244+BK245)/BK211,0)</f>
        <v>0</v>
      </c>
    </row>
    <row r="251" customFormat="false" ht="15" hidden="false" customHeight="false" outlineLevel="0" collapsed="false">
      <c r="A251" s="0" t="s">
        <v>226</v>
      </c>
      <c r="D251" s="11" t="n">
        <f aca="false">IF(D218&gt;0,D221/D218,0)</f>
        <v>44.0895</v>
      </c>
      <c r="E251" s="11" t="n">
        <f aca="false">IF(E218&gt;0,E221/E218,0)</f>
        <v>44.2550706228249</v>
      </c>
      <c r="F251" s="11" t="n">
        <f aca="false">IF(F218&gt;0,F221/F218,0)</f>
        <v>44.4100315420002</v>
      </c>
      <c r="G251" s="11" t="n">
        <f aca="false">IF(G218&gt;0,G221/G218,0)</f>
        <v>44.5544672973434</v>
      </c>
      <c r="H251" s="11" t="n">
        <f aca="false">IF(H218&gt;0,H221/H218,0)</f>
        <v>44.688543678386</v>
      </c>
      <c r="I251" s="11" t="n">
        <f aca="false">IF(I218&gt;0,I221/I218,0)</f>
        <v>44.8125014686385</v>
      </c>
      <c r="J251" s="11" t="n">
        <f aca="false">IF(J218&gt;0,J221/J218,0)</f>
        <v>44.9266487013935</v>
      </c>
      <c r="K251" s="11" t="n">
        <f aca="false">IF(K218&gt;0,K221/K218,0)</f>
        <v>45.0313517888286</v>
      </c>
      <c r="L251" s="11" t="n">
        <f aca="false">IF(L218&gt;0,L221/L218,0)</f>
        <v>45.1270259105106</v>
      </c>
      <c r="M251" s="11" t="n">
        <f aca="false">IF(M218&gt;0,M221/M218,0)</f>
        <v>45.2141250468776</v>
      </c>
      <c r="N251" s="11" t="n">
        <f aca="false">IF(N218&gt;0,N221/N218,0)</f>
        <v>45.2931320205689</v>
      </c>
      <c r="O251" s="11" t="n">
        <f aca="false">IF(O218&gt;0,O221/O218,0)</f>
        <v>45.3645488678749</v>
      </c>
      <c r="P251" s="11" t="n">
        <f aca="false">IF(P218&gt;0,P221/P218,0)</f>
        <v>45.4288878092976</v>
      </c>
      <c r="Q251" s="11" t="n">
        <f aca="false">IF(Q218&gt;0,Q221/Q218,0)</f>
        <v>45.4866630277312</v>
      </c>
      <c r="R251" s="11" t="n">
        <f aca="false">IF(R218&gt;0,R221/R218,0)</f>
        <v>45.5383834002496</v>
      </c>
      <c r="S251" s="11" t="n">
        <f aca="false">IF(S218&gt;0,S221/S218,0)</f>
        <v>45.584546269337</v>
      </c>
      <c r="T251" s="11" t="n">
        <f aca="false">IF(T218&gt;0,T221/T218,0)</f>
        <v>45.6256322850161</v>
      </c>
      <c r="U251" s="11" t="n">
        <f aca="false">IF(U218&gt;0,U221/U218,0)</f>
        <v>45.6621013029967</v>
      </c>
      <c r="V251" s="11" t="n">
        <f aca="false">IF(V218&gt;0,V221/V218,0)</f>
        <v>45.6943892869028</v>
      </c>
      <c r="W251" s="11" t="n">
        <f aca="false">IF(W218&gt;0,W221/W218,0)</f>
        <v>45.7229061351192</v>
      </c>
      <c r="X251" s="11" t="n">
        <f aca="false">IF(X218&gt;0,X221/X218,0)</f>
        <v>45.7480343343814</v>
      </c>
      <c r="Y251" s="11" t="n">
        <f aca="false">IF(Y218&gt;0,Y221/Y218,0)</f>
        <v>45.7701283319475</v>
      </c>
      <c r="Z251" s="11" t="n">
        <f aca="false">IF(Z218&gt;0,Z221/Z218,0)</f>
        <v>45.7895145147678</v>
      </c>
      <c r="AA251" s="11" t="n">
        <f aca="false">IF(AA218&gt;0,AA221/AA218,0)</f>
        <v>45.8064916861049</v>
      </c>
      <c r="AB251" s="11" t="n">
        <f aca="false">IF(AB218&gt;0,AB221/AB218,0)</f>
        <v>45.8213319361628</v>
      </c>
      <c r="AC251" s="11" t="n">
        <f aca="false">IF(AC218&gt;0,AC221/AC218,0)</f>
        <v>45.8342818121766</v>
      </c>
      <c r="AD251" s="11" t="n">
        <f aca="false">IF(AD218&gt;0,AD221/AD218,0)</f>
        <v>45.8455637039834</v>
      </c>
      <c r="AE251" s="11" t="n">
        <f aca="false">IF(AE218&gt;0,AE221/AE218,0)</f>
        <v>45.855377372428</v>
      </c>
      <c r="AF251" s="11" t="n">
        <f aca="false">IF(AF218&gt;0,AF221/AF218,0)</f>
        <v>45.8639015593395</v>
      </c>
      <c r="AG251" s="11" t="n">
        <f aca="false">IF(AG218&gt;0,AG221/AG218,0)</f>
        <v>45.8712956287291</v>
      </c>
      <c r="AH251" s="11" t="n">
        <f aca="false">IF(AH218&gt;0,AH221/AH218,0)</f>
        <v>45.8777011989562</v>
      </c>
      <c r="AI251" s="11" t="n">
        <f aca="false">IF(AI218&gt;0,AI221/AI218,0)</f>
        <v>45.8832437346622</v>
      </c>
      <c r="AJ251" s="11" t="n">
        <f aca="false">IF(AJ218&gt;0,AJ221/AJ218,0)</f>
        <v>45.8880340751955</v>
      </c>
      <c r="AK251" s="11" t="n">
        <f aca="false">IF(AK218&gt;0,AK221/AK218,0)</f>
        <v>45.892169883011</v>
      </c>
      <c r="AL251" s="11" t="n">
        <f aca="false">IF(AL218&gt;0,AL221/AL218,0)</f>
        <v>45.895737001172</v>
      </c>
      <c r="AM251" s="11" t="n">
        <f aca="false">IF(AM218&gt;0,AM221/AM218,0)</f>
        <v>45.8988107136927</v>
      </c>
      <c r="AN251" s="11" t="n">
        <f aca="false">IF(AN218&gt;0,AN221/AN218,0)</f>
        <v>45.9350483135099</v>
      </c>
      <c r="AO251" s="11" t="n">
        <f aca="false">IF(AO218&gt;0,AO221/AO218,0)</f>
        <v>45.9977219814596</v>
      </c>
      <c r="AP251" s="11" t="n">
        <f aca="false">IF(AP218&gt;0,AP221/AP218,0)</f>
        <v>46.0777430639909</v>
      </c>
      <c r="AQ251" s="11" t="n">
        <f aca="false">IF(AQ218&gt;0,AQ221/AQ218,0)</f>
        <v>46.1694302613854</v>
      </c>
      <c r="AR251" s="11" t="n">
        <f aca="false">IF(AR218&gt;0,AR221/AR218,0)</f>
        <v>46.2690502369365</v>
      </c>
      <c r="AS251" s="11" t="n">
        <f aca="false">IF(AS218&gt;0,AS221/AS218,0)</f>
        <v>46.3740496546924</v>
      </c>
      <c r="AT251" s="11" t="n">
        <f aca="false">IF(AT218&gt;0,AT221/AT218,0)</f>
        <v>46.4826244113002</v>
      </c>
      <c r="AU251" s="11" t="n">
        <f aca="false">IF(AU218&gt;0,AU221/AU218,0)</f>
        <v>46.5934650901364</v>
      </c>
      <c r="AV251" s="11" t="n">
        <f aca="false">IF(AV218&gt;0,AV221/AV218,0)</f>
        <v>46.7055998819072</v>
      </c>
      <c r="AW251" s="11" t="n">
        <f aca="false">IF(AW218&gt;0,AW221/AW218,0)</f>
        <v>46.8182940264446</v>
      </c>
      <c r="AX251" s="11" t="n">
        <f aca="false">IF(AX218&gt;0,AX221/AX218,0)</f>
        <v>46.9309833753885</v>
      </c>
      <c r="AY251" s="11" t="n">
        <f aca="false">IF(AY218&gt;0,AY221/AY218,0)</f>
        <v>47.0432292774898</v>
      </c>
      <c r="AZ251" s="11" t="n">
        <f aca="false">IF(AZ218&gt;0,AZ221/AZ218,0)</f>
        <v>47.1546871954205</v>
      </c>
      <c r="BA251" s="11" t="n">
        <f aca="false">IF(BA218&gt;0,BA221/BA218,0)</f>
        <v>47.2650844021162</v>
      </c>
      <c r="BB251" s="11" t="n">
        <f aca="false">IF(BB218&gt;0,BB221/BB218,0)</f>
        <v>47.3742038227565</v>
      </c>
      <c r="BC251" s="11" t="n">
        <f aca="false">IF(BC218&gt;0,BC221/BC218,0)</f>
        <v>47.4818721242768</v>
      </c>
      <c r="BD251" s="11" t="n">
        <f aca="false">IF(BD218&gt;0,BD221/BD218,0)</f>
        <v>47.5879507961379</v>
      </c>
      <c r="BE251" s="11" t="n">
        <f aca="false">IF(BE218&gt;0,BE221/BE218,0)</f>
        <v>47.6923293736927</v>
      </c>
      <c r="BF251" s="11" t="n">
        <f aca="false">IF(BF218&gt;0,BF221/BF218,0)</f>
        <v>47.7949202201411</v>
      </c>
      <c r="BG251" s="11" t="n">
        <f aca="false">IF(BG218&gt;0,BG221/BG218,0)</f>
        <v>47.8956544583822</v>
      </c>
      <c r="BH251" s="11" t="n">
        <f aca="false">IF(BH218&gt;0,BH221/BH218,0)</f>
        <v>47.9944787623379</v>
      </c>
      <c r="BI251" s="11" t="n">
        <f aca="false">IF(BI218&gt;0,BI221/BI218,0)</f>
        <v>48.091352798452</v>
      </c>
      <c r="BJ251" s="11" t="n">
        <f aca="false">IF(BJ218&gt;0,BJ221/BJ218,0)</f>
        <v>48.1862471645674</v>
      </c>
      <c r="BK251" s="11" t="n">
        <f aca="false">IF(BK218&gt;0,BK221/BK218,0)</f>
        <v>48.279141713303</v>
      </c>
    </row>
    <row r="252" customFormat="false" ht="15" hidden="false" customHeight="false" outlineLevel="0" collapsed="false">
      <c r="A252" s="0" t="s">
        <v>227</v>
      </c>
      <c r="D252" s="50" t="n">
        <f aca="false">IF(D221&gt;=1000,1,0)</f>
        <v>0</v>
      </c>
      <c r="E252" s="50" t="n">
        <f aca="false">IF(E221&gt;=1000,1,0)</f>
        <v>0</v>
      </c>
      <c r="F252" s="50" t="n">
        <f aca="false">IF(F221&gt;=1000,1,0)</f>
        <v>0</v>
      </c>
      <c r="G252" s="50" t="n">
        <f aca="false">IF(G221&gt;=1000,1,0)</f>
        <v>1</v>
      </c>
      <c r="H252" s="50" t="n">
        <f aca="false">IF(H221&gt;=1000,1,0)</f>
        <v>1</v>
      </c>
      <c r="I252" s="50" t="n">
        <f aca="false">IF(I221&gt;=1000,1,0)</f>
        <v>1</v>
      </c>
      <c r="J252" s="50" t="n">
        <f aca="false">IF(J221&gt;=1000,1,0)</f>
        <v>1</v>
      </c>
      <c r="K252" s="50" t="n">
        <f aca="false">IF(K221&gt;=1000,1,0)</f>
        <v>1</v>
      </c>
      <c r="L252" s="50" t="n">
        <f aca="false">IF(L221&gt;=1000,1,0)</f>
        <v>1</v>
      </c>
      <c r="M252" s="50" t="n">
        <f aca="false">IF(M221&gt;=1000,1,0)</f>
        <v>1</v>
      </c>
      <c r="N252" s="50" t="n">
        <f aca="false">IF(N221&gt;=1000,1,0)</f>
        <v>1</v>
      </c>
      <c r="O252" s="50" t="n">
        <f aca="false">IF(O221&gt;=1000,1,0)</f>
        <v>1</v>
      </c>
      <c r="P252" s="50" t="n">
        <f aca="false">IF(P221&gt;=1000,1,0)</f>
        <v>1</v>
      </c>
      <c r="Q252" s="50" t="n">
        <f aca="false">IF(Q221&gt;=1000,1,0)</f>
        <v>1</v>
      </c>
      <c r="R252" s="50" t="n">
        <f aca="false">IF(R221&gt;=1000,1,0)</f>
        <v>1</v>
      </c>
      <c r="S252" s="50" t="n">
        <f aca="false">IF(S221&gt;=1000,1,0)</f>
        <v>1</v>
      </c>
      <c r="T252" s="50" t="n">
        <f aca="false">IF(T221&gt;=1000,1,0)</f>
        <v>1</v>
      </c>
      <c r="U252" s="50" t="n">
        <f aca="false">IF(U221&gt;=1000,1,0)</f>
        <v>1</v>
      </c>
      <c r="V252" s="50" t="n">
        <f aca="false">IF(V221&gt;=1000,1,0)</f>
        <v>1</v>
      </c>
      <c r="W252" s="50" t="n">
        <f aca="false">IF(W221&gt;=1000,1,0)</f>
        <v>1</v>
      </c>
      <c r="X252" s="50" t="n">
        <f aca="false">IF(X221&gt;=1000,1,0)</f>
        <v>1</v>
      </c>
      <c r="Y252" s="50" t="n">
        <f aca="false">IF(Y221&gt;=1000,1,0)</f>
        <v>1</v>
      </c>
      <c r="Z252" s="50" t="n">
        <f aca="false">IF(Z221&gt;=1000,1,0)</f>
        <v>1</v>
      </c>
      <c r="AA252" s="50" t="n">
        <f aca="false">IF(AA221&gt;=1000,1,0)</f>
        <v>1</v>
      </c>
      <c r="AB252" s="50" t="n">
        <f aca="false">IF(AB221&gt;=1000,1,0)</f>
        <v>1</v>
      </c>
      <c r="AC252" s="50" t="n">
        <f aca="false">IF(AC221&gt;=1000,1,0)</f>
        <v>1</v>
      </c>
      <c r="AD252" s="50" t="n">
        <f aca="false">IF(AD221&gt;=1000,1,0)</f>
        <v>1</v>
      </c>
      <c r="AE252" s="50" t="n">
        <f aca="false">IF(AE221&gt;=1000,1,0)</f>
        <v>1</v>
      </c>
      <c r="AF252" s="50" t="n">
        <f aca="false">IF(AF221&gt;=1000,1,0)</f>
        <v>1</v>
      </c>
      <c r="AG252" s="50" t="n">
        <f aca="false">IF(AG221&gt;=1000,1,0)</f>
        <v>1</v>
      </c>
      <c r="AH252" s="50" t="n">
        <f aca="false">IF(AH221&gt;=1000,1,0)</f>
        <v>1</v>
      </c>
      <c r="AI252" s="50" t="n">
        <f aca="false">IF(AI221&gt;=1000,1,0)</f>
        <v>1</v>
      </c>
      <c r="AJ252" s="50" t="n">
        <f aca="false">IF(AJ221&gt;=1000,1,0)</f>
        <v>1</v>
      </c>
      <c r="AK252" s="50" t="n">
        <f aca="false">IF(AK221&gt;=1000,1,0)</f>
        <v>1</v>
      </c>
      <c r="AL252" s="50" t="n">
        <f aca="false">IF(AL221&gt;=1000,1,0)</f>
        <v>1</v>
      </c>
      <c r="AM252" s="50" t="n">
        <f aca="false">IF(AM221&gt;=1000,1,0)</f>
        <v>1</v>
      </c>
      <c r="AN252" s="50" t="n">
        <f aca="false">IF(AN221&gt;=1000,1,0)</f>
        <v>1</v>
      </c>
      <c r="AO252" s="50" t="n">
        <f aca="false">IF(AO221&gt;=1000,1,0)</f>
        <v>1</v>
      </c>
      <c r="AP252" s="50" t="n">
        <f aca="false">IF(AP221&gt;=1000,1,0)</f>
        <v>1</v>
      </c>
      <c r="AQ252" s="50" t="n">
        <f aca="false">IF(AQ221&gt;=1000,1,0)</f>
        <v>1</v>
      </c>
      <c r="AR252" s="50" t="n">
        <f aca="false">IF(AR221&gt;=1000,1,0)</f>
        <v>1</v>
      </c>
      <c r="AS252" s="50" t="n">
        <f aca="false">IF(AS221&gt;=1000,1,0)</f>
        <v>1</v>
      </c>
      <c r="AT252" s="50" t="n">
        <f aca="false">IF(AT221&gt;=1000,1,0)</f>
        <v>1</v>
      </c>
      <c r="AU252" s="50" t="n">
        <f aca="false">IF(AU221&gt;=1000,1,0)</f>
        <v>1</v>
      </c>
      <c r="AV252" s="50" t="n">
        <f aca="false">IF(AV221&gt;=1000,1,0)</f>
        <v>1</v>
      </c>
      <c r="AW252" s="50" t="n">
        <f aca="false">IF(AW221&gt;=1000,1,0)</f>
        <v>1</v>
      </c>
      <c r="AX252" s="50" t="n">
        <f aca="false">IF(AX221&gt;=1000,1,0)</f>
        <v>1</v>
      </c>
      <c r="AY252" s="50" t="n">
        <f aca="false">IF(AY221&gt;=1000,1,0)</f>
        <v>1</v>
      </c>
      <c r="AZ252" s="50" t="n">
        <f aca="false">IF(AZ221&gt;=1000,1,0)</f>
        <v>1</v>
      </c>
      <c r="BA252" s="50" t="n">
        <f aca="false">IF(BA221&gt;=1000,1,0)</f>
        <v>1</v>
      </c>
      <c r="BB252" s="50" t="n">
        <f aca="false">IF(BB221&gt;=1000,1,0)</f>
        <v>1</v>
      </c>
      <c r="BC252" s="50" t="n">
        <f aca="false">IF(BC221&gt;=1000,1,0)</f>
        <v>1</v>
      </c>
      <c r="BD252" s="50" t="n">
        <f aca="false">IF(BD221&gt;=1000,1,0)</f>
        <v>1</v>
      </c>
      <c r="BE252" s="50" t="n">
        <f aca="false">IF(BE221&gt;=1000,1,0)</f>
        <v>1</v>
      </c>
      <c r="BF252" s="50" t="n">
        <f aca="false">IF(BF221&gt;=1000,1,0)</f>
        <v>1</v>
      </c>
      <c r="BG252" s="50" t="n">
        <f aca="false">IF(BG221&gt;=1000,1,0)</f>
        <v>1</v>
      </c>
      <c r="BH252" s="50" t="n">
        <f aca="false">IF(BH221&gt;=1000,1,0)</f>
        <v>1</v>
      </c>
      <c r="BI252" s="50" t="n">
        <f aca="false">IF(BI221&gt;=1000,1,0)</f>
        <v>1</v>
      </c>
      <c r="BJ252" s="50" t="n">
        <f aca="false">IF(BJ221&gt;=1000,1,0)</f>
        <v>1</v>
      </c>
      <c r="BK252" s="50" t="n">
        <f aca="false">IF(BK221&gt;=1000,1,0)</f>
        <v>1</v>
      </c>
    </row>
    <row r="253" customFormat="false" ht="15" hidden="false" customHeight="false" outlineLevel="0" collapsed="false">
      <c r="A253" s="0" t="s">
        <v>228</v>
      </c>
      <c r="D253" s="50" t="n">
        <f aca="false">IF(D221&gt;=10000,1,0)</f>
        <v>0</v>
      </c>
      <c r="E253" s="50" t="n">
        <f aca="false">IF(E221&gt;=10000,1,0)</f>
        <v>0</v>
      </c>
      <c r="F253" s="50" t="n">
        <f aca="false">IF(F221&gt;=10000,1,0)</f>
        <v>0</v>
      </c>
      <c r="G253" s="50" t="n">
        <f aca="false">IF(G221&gt;=10000,1,0)</f>
        <v>0</v>
      </c>
      <c r="H253" s="50" t="n">
        <f aca="false">IF(H221&gt;=10000,1,0)</f>
        <v>0</v>
      </c>
      <c r="I253" s="50" t="n">
        <f aca="false">IF(I221&gt;=10000,1,0)</f>
        <v>0</v>
      </c>
      <c r="J253" s="50" t="n">
        <f aca="false">IF(J221&gt;=10000,1,0)</f>
        <v>0</v>
      </c>
      <c r="K253" s="50" t="n">
        <f aca="false">IF(K221&gt;=10000,1,0)</f>
        <v>0</v>
      </c>
      <c r="L253" s="50" t="n">
        <f aca="false">IF(L221&gt;=10000,1,0)</f>
        <v>0</v>
      </c>
      <c r="M253" s="50" t="n">
        <f aca="false">IF(M221&gt;=10000,1,0)</f>
        <v>0</v>
      </c>
      <c r="N253" s="50" t="n">
        <f aca="false">IF(N221&gt;=10000,1,0)</f>
        <v>0</v>
      </c>
      <c r="O253" s="50" t="n">
        <f aca="false">IF(O221&gt;=10000,1,0)</f>
        <v>0</v>
      </c>
      <c r="P253" s="50" t="n">
        <f aca="false">IF(P221&gt;=10000,1,0)</f>
        <v>0</v>
      </c>
      <c r="Q253" s="50" t="n">
        <f aca="false">IF(Q221&gt;=10000,1,0)</f>
        <v>0</v>
      </c>
      <c r="R253" s="50" t="n">
        <f aca="false">IF(R221&gt;=10000,1,0)</f>
        <v>0</v>
      </c>
      <c r="S253" s="50" t="n">
        <f aca="false">IF(S221&gt;=10000,1,0)</f>
        <v>1</v>
      </c>
      <c r="T253" s="50" t="n">
        <f aca="false">IF(T221&gt;=10000,1,0)</f>
        <v>1</v>
      </c>
      <c r="U253" s="50" t="n">
        <f aca="false">IF(U221&gt;=10000,1,0)</f>
        <v>1</v>
      </c>
      <c r="V253" s="50" t="n">
        <f aca="false">IF(V221&gt;=10000,1,0)</f>
        <v>1</v>
      </c>
      <c r="W253" s="50" t="n">
        <f aca="false">IF(W221&gt;=10000,1,0)</f>
        <v>1</v>
      </c>
      <c r="X253" s="50" t="n">
        <f aca="false">IF(X221&gt;=10000,1,0)</f>
        <v>1</v>
      </c>
      <c r="Y253" s="50" t="n">
        <f aca="false">IF(Y221&gt;=10000,1,0)</f>
        <v>1</v>
      </c>
      <c r="Z253" s="50" t="n">
        <f aca="false">IF(Z221&gt;=10000,1,0)</f>
        <v>1</v>
      </c>
      <c r="AA253" s="50" t="n">
        <f aca="false">IF(AA221&gt;=10000,1,0)</f>
        <v>1</v>
      </c>
      <c r="AB253" s="50" t="n">
        <f aca="false">IF(AB221&gt;=10000,1,0)</f>
        <v>1</v>
      </c>
      <c r="AC253" s="50" t="n">
        <f aca="false">IF(AC221&gt;=10000,1,0)</f>
        <v>1</v>
      </c>
      <c r="AD253" s="50" t="n">
        <f aca="false">IF(AD221&gt;=10000,1,0)</f>
        <v>1</v>
      </c>
      <c r="AE253" s="50" t="n">
        <f aca="false">IF(AE221&gt;=10000,1,0)</f>
        <v>1</v>
      </c>
      <c r="AF253" s="50" t="n">
        <f aca="false">IF(AF221&gt;=10000,1,0)</f>
        <v>1</v>
      </c>
      <c r="AG253" s="50" t="n">
        <f aca="false">IF(AG221&gt;=10000,1,0)</f>
        <v>1</v>
      </c>
      <c r="AH253" s="50" t="n">
        <f aca="false">IF(AH221&gt;=10000,1,0)</f>
        <v>1</v>
      </c>
      <c r="AI253" s="50" t="n">
        <f aca="false">IF(AI221&gt;=10000,1,0)</f>
        <v>1</v>
      </c>
      <c r="AJ253" s="50" t="n">
        <f aca="false">IF(AJ221&gt;=10000,1,0)</f>
        <v>1</v>
      </c>
      <c r="AK253" s="50" t="n">
        <f aca="false">IF(AK221&gt;=10000,1,0)</f>
        <v>1</v>
      </c>
      <c r="AL253" s="50" t="n">
        <f aca="false">IF(AL221&gt;=10000,1,0)</f>
        <v>1</v>
      </c>
      <c r="AM253" s="50" t="n">
        <f aca="false">IF(AM221&gt;=10000,1,0)</f>
        <v>1</v>
      </c>
      <c r="AN253" s="50" t="n">
        <f aca="false">IF(AN221&gt;=10000,1,0)</f>
        <v>1</v>
      </c>
      <c r="AO253" s="50" t="n">
        <f aca="false">IF(AO221&gt;=10000,1,0)</f>
        <v>1</v>
      </c>
      <c r="AP253" s="50" t="n">
        <f aca="false">IF(AP221&gt;=10000,1,0)</f>
        <v>1</v>
      </c>
      <c r="AQ253" s="50" t="n">
        <f aca="false">IF(AQ221&gt;=10000,1,0)</f>
        <v>1</v>
      </c>
      <c r="AR253" s="50" t="n">
        <f aca="false">IF(AR221&gt;=10000,1,0)</f>
        <v>1</v>
      </c>
      <c r="AS253" s="50" t="n">
        <f aca="false">IF(AS221&gt;=10000,1,0)</f>
        <v>1</v>
      </c>
      <c r="AT253" s="50" t="n">
        <f aca="false">IF(AT221&gt;=10000,1,0)</f>
        <v>1</v>
      </c>
      <c r="AU253" s="50" t="n">
        <f aca="false">IF(AU221&gt;=10000,1,0)</f>
        <v>1</v>
      </c>
      <c r="AV253" s="50" t="n">
        <f aca="false">IF(AV221&gt;=10000,1,0)</f>
        <v>1</v>
      </c>
      <c r="AW253" s="50" t="n">
        <f aca="false">IF(AW221&gt;=10000,1,0)</f>
        <v>1</v>
      </c>
      <c r="AX253" s="50" t="n">
        <f aca="false">IF(AX221&gt;=10000,1,0)</f>
        <v>1</v>
      </c>
      <c r="AY253" s="50" t="n">
        <f aca="false">IF(AY221&gt;=10000,1,0)</f>
        <v>1</v>
      </c>
      <c r="AZ253" s="50" t="n">
        <f aca="false">IF(AZ221&gt;=10000,1,0)</f>
        <v>1</v>
      </c>
      <c r="BA253" s="50" t="n">
        <f aca="false">IF(BA221&gt;=10000,1,0)</f>
        <v>1</v>
      </c>
      <c r="BB253" s="50" t="n">
        <f aca="false">IF(BB221&gt;=10000,1,0)</f>
        <v>1</v>
      </c>
      <c r="BC253" s="50" t="n">
        <f aca="false">IF(BC221&gt;=10000,1,0)</f>
        <v>1</v>
      </c>
      <c r="BD253" s="50" t="n">
        <f aca="false">IF(BD221&gt;=10000,1,0)</f>
        <v>1</v>
      </c>
      <c r="BE253" s="50" t="n">
        <f aca="false">IF(BE221&gt;=10000,1,0)</f>
        <v>1</v>
      </c>
      <c r="BF253" s="50" t="n">
        <f aca="false">IF(BF221&gt;=10000,1,0)</f>
        <v>1</v>
      </c>
      <c r="BG253" s="50" t="n">
        <f aca="false">IF(BG221&gt;=10000,1,0)</f>
        <v>1</v>
      </c>
      <c r="BH253" s="50" t="n">
        <f aca="false">IF(BH221&gt;=10000,1,0)</f>
        <v>1</v>
      </c>
      <c r="BI253" s="50" t="n">
        <f aca="false">IF(BI221&gt;=10000,1,0)</f>
        <v>1</v>
      </c>
      <c r="BJ253" s="50" t="n">
        <f aca="false">IF(BJ221&gt;=10000,1,0)</f>
        <v>1</v>
      </c>
      <c r="BK253" s="50" t="n">
        <f aca="false">IF(BK221&gt;=10000,1,0)</f>
        <v>1</v>
      </c>
    </row>
    <row r="254" customFormat="false" ht="15" hidden="false" customHeight="false" outlineLevel="0" collapsed="false">
      <c r="A254" s="0" t="s">
        <v>229</v>
      </c>
      <c r="D254" s="50" t="n">
        <f aca="false">IF(D221&gt;=100000,1,0)</f>
        <v>0</v>
      </c>
      <c r="E254" s="50" t="n">
        <f aca="false">IF(E221&gt;=100000,1,0)</f>
        <v>0</v>
      </c>
      <c r="F254" s="50" t="n">
        <f aca="false">IF(F221&gt;=100000,1,0)</f>
        <v>0</v>
      </c>
      <c r="G254" s="50" t="n">
        <f aca="false">IF(G221&gt;=100000,1,0)</f>
        <v>0</v>
      </c>
      <c r="H254" s="50" t="n">
        <f aca="false">IF(H221&gt;=100000,1,0)</f>
        <v>0</v>
      </c>
      <c r="I254" s="50" t="n">
        <f aca="false">IF(I221&gt;=100000,1,0)</f>
        <v>0</v>
      </c>
      <c r="J254" s="50" t="n">
        <f aca="false">IF(J221&gt;=100000,1,0)</f>
        <v>0</v>
      </c>
      <c r="K254" s="50" t="n">
        <f aca="false">IF(K221&gt;=100000,1,0)</f>
        <v>0</v>
      </c>
      <c r="L254" s="50" t="n">
        <f aca="false">IF(L221&gt;=100000,1,0)</f>
        <v>0</v>
      </c>
      <c r="M254" s="50" t="n">
        <f aca="false">IF(M221&gt;=100000,1,0)</f>
        <v>0</v>
      </c>
      <c r="N254" s="50" t="n">
        <f aca="false">IF(N221&gt;=100000,1,0)</f>
        <v>0</v>
      </c>
      <c r="O254" s="50" t="n">
        <f aca="false">IF(O221&gt;=100000,1,0)</f>
        <v>0</v>
      </c>
      <c r="P254" s="50" t="n">
        <f aca="false">IF(P221&gt;=100000,1,0)</f>
        <v>0</v>
      </c>
      <c r="Q254" s="50" t="n">
        <f aca="false">IF(Q221&gt;=100000,1,0)</f>
        <v>0</v>
      </c>
      <c r="R254" s="50" t="n">
        <f aca="false">IF(R221&gt;=100000,1,0)</f>
        <v>0</v>
      </c>
      <c r="S254" s="50" t="n">
        <f aca="false">IF(S221&gt;=100000,1,0)</f>
        <v>0</v>
      </c>
      <c r="T254" s="50" t="n">
        <f aca="false">IF(T221&gt;=100000,1,0)</f>
        <v>0</v>
      </c>
      <c r="U254" s="50" t="n">
        <f aca="false">IF(U221&gt;=100000,1,0)</f>
        <v>0</v>
      </c>
      <c r="V254" s="50" t="n">
        <f aca="false">IF(V221&gt;=100000,1,0)</f>
        <v>0</v>
      </c>
      <c r="W254" s="50" t="n">
        <f aca="false">IF(W221&gt;=100000,1,0)</f>
        <v>0</v>
      </c>
      <c r="X254" s="50" t="n">
        <f aca="false">IF(X221&gt;=100000,1,0)</f>
        <v>0</v>
      </c>
      <c r="Y254" s="50" t="n">
        <f aca="false">IF(Y221&gt;=100000,1,0)</f>
        <v>0</v>
      </c>
      <c r="Z254" s="50" t="n">
        <f aca="false">IF(Z221&gt;=100000,1,0)</f>
        <v>0</v>
      </c>
      <c r="AA254" s="50" t="n">
        <f aca="false">IF(AA221&gt;=100000,1,0)</f>
        <v>0</v>
      </c>
      <c r="AB254" s="50" t="n">
        <f aca="false">IF(AB221&gt;=100000,1,0)</f>
        <v>0</v>
      </c>
      <c r="AC254" s="50" t="n">
        <f aca="false">IF(AC221&gt;=100000,1,0)</f>
        <v>0</v>
      </c>
      <c r="AD254" s="50" t="n">
        <f aca="false">IF(AD221&gt;=100000,1,0)</f>
        <v>0</v>
      </c>
      <c r="AE254" s="50" t="n">
        <f aca="false">IF(AE221&gt;=100000,1,0)</f>
        <v>0</v>
      </c>
      <c r="AF254" s="50" t="n">
        <f aca="false">IF(AF221&gt;=100000,1,0)</f>
        <v>0</v>
      </c>
      <c r="AG254" s="50" t="n">
        <f aca="false">IF(AG221&gt;=100000,1,0)</f>
        <v>0</v>
      </c>
      <c r="AH254" s="50" t="n">
        <f aca="false">IF(AH221&gt;=100000,1,0)</f>
        <v>0</v>
      </c>
      <c r="AI254" s="50" t="n">
        <f aca="false">IF(AI221&gt;=100000,1,0)</f>
        <v>0</v>
      </c>
      <c r="AJ254" s="50" t="n">
        <f aca="false">IF(AJ221&gt;=100000,1,0)</f>
        <v>1</v>
      </c>
      <c r="AK254" s="50" t="n">
        <f aca="false">IF(AK221&gt;=100000,1,0)</f>
        <v>1</v>
      </c>
      <c r="AL254" s="50" t="n">
        <f aca="false">IF(AL221&gt;=100000,1,0)</f>
        <v>1</v>
      </c>
      <c r="AM254" s="50" t="n">
        <f aca="false">IF(AM221&gt;=100000,1,0)</f>
        <v>1</v>
      </c>
      <c r="AN254" s="50" t="n">
        <f aca="false">IF(AN221&gt;=100000,1,0)</f>
        <v>1</v>
      </c>
      <c r="AO254" s="50" t="n">
        <f aca="false">IF(AO221&gt;=100000,1,0)</f>
        <v>1</v>
      </c>
      <c r="AP254" s="50" t="n">
        <f aca="false">IF(AP221&gt;=100000,1,0)</f>
        <v>1</v>
      </c>
      <c r="AQ254" s="50" t="n">
        <f aca="false">IF(AQ221&gt;=100000,1,0)</f>
        <v>1</v>
      </c>
      <c r="AR254" s="50" t="n">
        <f aca="false">IF(AR221&gt;=100000,1,0)</f>
        <v>1</v>
      </c>
      <c r="AS254" s="50" t="n">
        <f aca="false">IF(AS221&gt;=100000,1,0)</f>
        <v>1</v>
      </c>
      <c r="AT254" s="50" t="n">
        <f aca="false">IF(AT221&gt;=100000,1,0)</f>
        <v>1</v>
      </c>
      <c r="AU254" s="50" t="n">
        <f aca="false">IF(AU221&gt;=100000,1,0)</f>
        <v>1</v>
      </c>
      <c r="AV254" s="50" t="n">
        <f aca="false">IF(AV221&gt;=100000,1,0)</f>
        <v>1</v>
      </c>
      <c r="AW254" s="50" t="n">
        <f aca="false">IF(AW221&gt;=100000,1,0)</f>
        <v>1</v>
      </c>
      <c r="AX254" s="50" t="n">
        <f aca="false">IF(AX221&gt;=100000,1,0)</f>
        <v>1</v>
      </c>
      <c r="AY254" s="50" t="n">
        <f aca="false">IF(AY221&gt;=100000,1,0)</f>
        <v>1</v>
      </c>
      <c r="AZ254" s="50" t="n">
        <f aca="false">IF(AZ221&gt;=100000,1,0)</f>
        <v>1</v>
      </c>
      <c r="BA254" s="50" t="n">
        <f aca="false">IF(BA221&gt;=100000,1,0)</f>
        <v>1</v>
      </c>
      <c r="BB254" s="50" t="n">
        <f aca="false">IF(BB221&gt;=100000,1,0)</f>
        <v>1</v>
      </c>
      <c r="BC254" s="50" t="n">
        <f aca="false">IF(BC221&gt;=100000,1,0)</f>
        <v>1</v>
      </c>
      <c r="BD254" s="50" t="n">
        <f aca="false">IF(BD221&gt;=100000,1,0)</f>
        <v>1</v>
      </c>
      <c r="BE254" s="50" t="n">
        <f aca="false">IF(BE221&gt;=100000,1,0)</f>
        <v>1</v>
      </c>
      <c r="BF254" s="50" t="n">
        <f aca="false">IF(BF221&gt;=100000,1,0)</f>
        <v>1</v>
      </c>
      <c r="BG254" s="50" t="n">
        <f aca="false">IF(BG221&gt;=100000,1,0)</f>
        <v>1</v>
      </c>
      <c r="BH254" s="50" t="n">
        <f aca="false">IF(BH221&gt;=100000,1,0)</f>
        <v>1</v>
      </c>
      <c r="BI254" s="50" t="n">
        <f aca="false">IF(BI221&gt;=100000,1,0)</f>
        <v>1</v>
      </c>
      <c r="BJ254" s="50" t="n">
        <f aca="false">IF(BJ221&gt;=100000,1,0)</f>
        <v>1</v>
      </c>
      <c r="BK254" s="50" t="n">
        <f aca="false">IF(BK221&gt;=100000,1,0)</f>
        <v>1</v>
      </c>
    </row>
    <row r="255" customFormat="false" ht="15" hidden="false" customHeight="false" outlineLevel="0" collapsed="false">
      <c r="A255" s="0" t="s">
        <v>230</v>
      </c>
      <c r="D255" s="50" t="n">
        <f aca="false">IF(D222&gt;=1000000,1,0)</f>
        <v>0</v>
      </c>
      <c r="E255" s="50" t="n">
        <f aca="false">IF(E222&gt;=1000000,1,0)</f>
        <v>0</v>
      </c>
      <c r="F255" s="50" t="n">
        <f aca="false">IF(F222&gt;=1000000,1,0)</f>
        <v>0</v>
      </c>
      <c r="G255" s="50" t="n">
        <f aca="false">IF(G222&gt;=1000000,1,0)</f>
        <v>0</v>
      </c>
      <c r="H255" s="50" t="n">
        <f aca="false">IF(H222&gt;=1000000,1,0)</f>
        <v>0</v>
      </c>
      <c r="I255" s="50" t="n">
        <f aca="false">IF(I222&gt;=1000000,1,0)</f>
        <v>0</v>
      </c>
      <c r="J255" s="50" t="n">
        <f aca="false">IF(J222&gt;=1000000,1,0)</f>
        <v>0</v>
      </c>
      <c r="K255" s="50" t="n">
        <f aca="false">IF(K222&gt;=1000000,1,0)</f>
        <v>0</v>
      </c>
      <c r="L255" s="50" t="n">
        <f aca="false">IF(L222&gt;=1000000,1,0)</f>
        <v>0</v>
      </c>
      <c r="M255" s="50" t="n">
        <f aca="false">IF(M222&gt;=1000000,1,0)</f>
        <v>0</v>
      </c>
      <c r="N255" s="50" t="n">
        <f aca="false">IF(N222&gt;=1000000,1,0)</f>
        <v>0</v>
      </c>
      <c r="O255" s="50" t="n">
        <f aca="false">IF(O222&gt;=1000000,1,0)</f>
        <v>0</v>
      </c>
      <c r="P255" s="50" t="n">
        <f aca="false">IF(P222&gt;=1000000,1,0)</f>
        <v>0</v>
      </c>
      <c r="Q255" s="50" t="n">
        <f aca="false">IF(Q222&gt;=1000000,1,0)</f>
        <v>0</v>
      </c>
      <c r="R255" s="50" t="n">
        <f aca="false">IF(R222&gt;=1000000,1,0)</f>
        <v>0</v>
      </c>
      <c r="S255" s="50" t="n">
        <f aca="false">IF(S222&gt;=1000000,1,0)</f>
        <v>0</v>
      </c>
      <c r="T255" s="50" t="n">
        <f aca="false">IF(T222&gt;=1000000,1,0)</f>
        <v>0</v>
      </c>
      <c r="U255" s="50" t="n">
        <f aca="false">IF(U222&gt;=1000000,1,0)</f>
        <v>0</v>
      </c>
      <c r="V255" s="50" t="n">
        <f aca="false">IF(V222&gt;=1000000,1,0)</f>
        <v>0</v>
      </c>
      <c r="W255" s="50" t="n">
        <f aca="false">IF(W222&gt;=1000000,1,0)</f>
        <v>0</v>
      </c>
      <c r="X255" s="50" t="n">
        <f aca="false">IF(X222&gt;=1000000,1,0)</f>
        <v>0</v>
      </c>
      <c r="Y255" s="50" t="n">
        <f aca="false">IF(Y222&gt;=1000000,1,0)</f>
        <v>0</v>
      </c>
      <c r="Z255" s="50" t="n">
        <f aca="false">IF(Z222&gt;=1000000,1,0)</f>
        <v>0</v>
      </c>
      <c r="AA255" s="50" t="n">
        <f aca="false">IF(AA222&gt;=1000000,1,0)</f>
        <v>0</v>
      </c>
      <c r="AB255" s="50" t="n">
        <f aca="false">IF(AB222&gt;=1000000,1,0)</f>
        <v>0</v>
      </c>
      <c r="AC255" s="50" t="n">
        <f aca="false">IF(AC222&gt;=1000000,1,0)</f>
        <v>0</v>
      </c>
      <c r="AD255" s="50" t="n">
        <f aca="false">IF(AD222&gt;=1000000,1,0)</f>
        <v>0</v>
      </c>
      <c r="AE255" s="50" t="n">
        <f aca="false">IF(AE222&gt;=1000000,1,0)</f>
        <v>0</v>
      </c>
      <c r="AF255" s="50" t="n">
        <f aca="false">IF(AF222&gt;=1000000,1,0)</f>
        <v>0</v>
      </c>
      <c r="AG255" s="50" t="n">
        <f aca="false">IF(AG222&gt;=1000000,1,0)</f>
        <v>0</v>
      </c>
      <c r="AH255" s="50" t="n">
        <f aca="false">IF(AH222&gt;=1000000,1,0)</f>
        <v>1</v>
      </c>
      <c r="AI255" s="50" t="n">
        <f aca="false">IF(AI222&gt;=1000000,1,0)</f>
        <v>1</v>
      </c>
      <c r="AJ255" s="50" t="n">
        <f aca="false">IF(AJ222&gt;=1000000,1,0)</f>
        <v>1</v>
      </c>
      <c r="AK255" s="50" t="n">
        <f aca="false">IF(AK222&gt;=1000000,1,0)</f>
        <v>1</v>
      </c>
      <c r="AL255" s="50" t="n">
        <f aca="false">IF(AL222&gt;=1000000,1,0)</f>
        <v>1</v>
      </c>
      <c r="AM255" s="50" t="n">
        <f aca="false">IF(AM222&gt;=1000000,1,0)</f>
        <v>1</v>
      </c>
      <c r="AN255" s="50" t="n">
        <f aca="false">IF(AN222&gt;=1000000,1,0)</f>
        <v>1</v>
      </c>
      <c r="AO255" s="50" t="n">
        <f aca="false">IF(AO222&gt;=1000000,1,0)</f>
        <v>1</v>
      </c>
      <c r="AP255" s="50" t="n">
        <f aca="false">IF(AP222&gt;=1000000,1,0)</f>
        <v>1</v>
      </c>
      <c r="AQ255" s="50" t="n">
        <f aca="false">IF(AQ222&gt;=1000000,1,0)</f>
        <v>1</v>
      </c>
      <c r="AR255" s="50" t="n">
        <f aca="false">IF(AR222&gt;=1000000,1,0)</f>
        <v>1</v>
      </c>
      <c r="AS255" s="50" t="n">
        <f aca="false">IF(AS222&gt;=1000000,1,0)</f>
        <v>1</v>
      </c>
      <c r="AT255" s="50" t="n">
        <f aca="false">IF(AT222&gt;=1000000,1,0)</f>
        <v>1</v>
      </c>
      <c r="AU255" s="50" t="n">
        <f aca="false">IF(AU222&gt;=1000000,1,0)</f>
        <v>1</v>
      </c>
      <c r="AV255" s="50" t="n">
        <f aca="false">IF(AV222&gt;=1000000,1,0)</f>
        <v>1</v>
      </c>
      <c r="AW255" s="50" t="n">
        <f aca="false">IF(AW222&gt;=1000000,1,0)</f>
        <v>1</v>
      </c>
      <c r="AX255" s="50" t="n">
        <f aca="false">IF(AX222&gt;=1000000,1,0)</f>
        <v>1</v>
      </c>
      <c r="AY255" s="50" t="n">
        <f aca="false">IF(AY222&gt;=1000000,1,0)</f>
        <v>1</v>
      </c>
      <c r="AZ255" s="50" t="n">
        <f aca="false">IF(AZ222&gt;=1000000,1,0)</f>
        <v>1</v>
      </c>
      <c r="BA255" s="50" t="n">
        <f aca="false">IF(BA222&gt;=1000000,1,0)</f>
        <v>1</v>
      </c>
      <c r="BB255" s="50" t="n">
        <f aca="false">IF(BB222&gt;=1000000,1,0)</f>
        <v>1</v>
      </c>
      <c r="BC255" s="50" t="n">
        <f aca="false">IF(BC222&gt;=1000000,1,0)</f>
        <v>1</v>
      </c>
      <c r="BD255" s="50" t="n">
        <f aca="false">IF(BD222&gt;=1000000,1,0)</f>
        <v>1</v>
      </c>
      <c r="BE255" s="50" t="n">
        <f aca="false">IF(BE222&gt;=1000000,1,0)</f>
        <v>1</v>
      </c>
      <c r="BF255" s="50" t="n">
        <f aca="false">IF(BF222&gt;=1000000,1,0)</f>
        <v>1</v>
      </c>
      <c r="BG255" s="50" t="n">
        <f aca="false">IF(BG222&gt;=1000000,1,0)</f>
        <v>1</v>
      </c>
      <c r="BH255" s="50" t="n">
        <f aca="false">IF(BH222&gt;=1000000,1,0)</f>
        <v>1</v>
      </c>
      <c r="BI255" s="50" t="n">
        <f aca="false">IF(BI222&gt;=1000000,1,0)</f>
        <v>1</v>
      </c>
      <c r="BJ255" s="50" t="n">
        <f aca="false">IF(BJ222&gt;=1000000,1,0)</f>
        <v>1</v>
      </c>
      <c r="BK255" s="50" t="n">
        <f aca="false">IF(BK222&gt;=1000000,1,0)</f>
        <v>1</v>
      </c>
    </row>
    <row r="256" customFormat="false" ht="15" hidden="false" customHeight="false" outlineLevel="0" collapsed="false">
      <c r="A256" s="0" t="s">
        <v>231</v>
      </c>
      <c r="D256" s="50" t="n">
        <f aca="false">IF(D222&gt;=5000000,1,0)</f>
        <v>0</v>
      </c>
      <c r="E256" s="50" t="n">
        <f aca="false">IF(E222&gt;=5000000,1,0)</f>
        <v>0</v>
      </c>
      <c r="F256" s="50" t="n">
        <f aca="false">IF(F222&gt;=5000000,1,0)</f>
        <v>0</v>
      </c>
      <c r="G256" s="50" t="n">
        <f aca="false">IF(G222&gt;=5000000,1,0)</f>
        <v>0</v>
      </c>
      <c r="H256" s="50" t="n">
        <f aca="false">IF(H222&gt;=5000000,1,0)</f>
        <v>0</v>
      </c>
      <c r="I256" s="50" t="n">
        <f aca="false">IF(I222&gt;=5000000,1,0)</f>
        <v>0</v>
      </c>
      <c r="J256" s="50" t="n">
        <f aca="false">IF(J222&gt;=5000000,1,0)</f>
        <v>0</v>
      </c>
      <c r="K256" s="50" t="n">
        <f aca="false">IF(K222&gt;=5000000,1,0)</f>
        <v>0</v>
      </c>
      <c r="L256" s="50" t="n">
        <f aca="false">IF(L222&gt;=5000000,1,0)</f>
        <v>0</v>
      </c>
      <c r="M256" s="50" t="n">
        <f aca="false">IF(M222&gt;=5000000,1,0)</f>
        <v>0</v>
      </c>
      <c r="N256" s="50" t="n">
        <f aca="false">IF(N222&gt;=5000000,1,0)</f>
        <v>0</v>
      </c>
      <c r="O256" s="50" t="n">
        <f aca="false">IF(O222&gt;=5000000,1,0)</f>
        <v>0</v>
      </c>
      <c r="P256" s="50" t="n">
        <f aca="false">IF(P222&gt;=5000000,1,0)</f>
        <v>0</v>
      </c>
      <c r="Q256" s="50" t="n">
        <f aca="false">IF(Q222&gt;=5000000,1,0)</f>
        <v>0</v>
      </c>
      <c r="R256" s="50" t="n">
        <f aca="false">IF(R222&gt;=5000000,1,0)</f>
        <v>0</v>
      </c>
      <c r="S256" s="50" t="n">
        <f aca="false">IF(S222&gt;=5000000,1,0)</f>
        <v>0</v>
      </c>
      <c r="T256" s="50" t="n">
        <f aca="false">IF(T222&gt;=5000000,1,0)</f>
        <v>0</v>
      </c>
      <c r="U256" s="50" t="n">
        <f aca="false">IF(U222&gt;=5000000,1,0)</f>
        <v>0</v>
      </c>
      <c r="V256" s="50" t="n">
        <f aca="false">IF(V222&gt;=5000000,1,0)</f>
        <v>0</v>
      </c>
      <c r="W256" s="50" t="n">
        <f aca="false">IF(W222&gt;=5000000,1,0)</f>
        <v>0</v>
      </c>
      <c r="X256" s="50" t="n">
        <f aca="false">IF(X222&gt;=5000000,1,0)</f>
        <v>0</v>
      </c>
      <c r="Y256" s="50" t="n">
        <f aca="false">IF(Y222&gt;=5000000,1,0)</f>
        <v>0</v>
      </c>
      <c r="Z256" s="50" t="n">
        <f aca="false">IF(Z222&gt;=5000000,1,0)</f>
        <v>0</v>
      </c>
      <c r="AA256" s="50" t="n">
        <f aca="false">IF(AA222&gt;=5000000,1,0)</f>
        <v>0</v>
      </c>
      <c r="AB256" s="50" t="n">
        <f aca="false">IF(AB222&gt;=5000000,1,0)</f>
        <v>0</v>
      </c>
      <c r="AC256" s="50" t="n">
        <f aca="false">IF(AC222&gt;=5000000,1,0)</f>
        <v>0</v>
      </c>
      <c r="AD256" s="50" t="n">
        <f aca="false">IF(AD222&gt;=5000000,1,0)</f>
        <v>0</v>
      </c>
      <c r="AE256" s="50" t="n">
        <f aca="false">IF(AE222&gt;=5000000,1,0)</f>
        <v>0</v>
      </c>
      <c r="AF256" s="50" t="n">
        <f aca="false">IF(AF222&gt;=5000000,1,0)</f>
        <v>0</v>
      </c>
      <c r="AG256" s="50" t="n">
        <f aca="false">IF(AG222&gt;=5000000,1,0)</f>
        <v>0</v>
      </c>
      <c r="AH256" s="50" t="n">
        <f aca="false">IF(AH222&gt;=5000000,1,0)</f>
        <v>0</v>
      </c>
      <c r="AI256" s="50" t="n">
        <f aca="false">IF(AI222&gt;=5000000,1,0)</f>
        <v>0</v>
      </c>
      <c r="AJ256" s="50" t="n">
        <f aca="false">IF(AJ222&gt;=5000000,1,0)</f>
        <v>0</v>
      </c>
      <c r="AK256" s="50" t="n">
        <f aca="false">IF(AK222&gt;=5000000,1,0)</f>
        <v>0</v>
      </c>
      <c r="AL256" s="50" t="n">
        <f aca="false">IF(AL222&gt;=5000000,1,0)</f>
        <v>0</v>
      </c>
      <c r="AM256" s="50" t="n">
        <f aca="false">IF(AM222&gt;=5000000,1,0)</f>
        <v>0</v>
      </c>
      <c r="AN256" s="50" t="n">
        <f aca="false">IF(AN222&gt;=5000000,1,0)</f>
        <v>0</v>
      </c>
      <c r="AO256" s="50" t="n">
        <f aca="false">IF(AO222&gt;=5000000,1,0)</f>
        <v>0</v>
      </c>
      <c r="AP256" s="50" t="n">
        <f aca="false">IF(AP222&gt;=5000000,1,0)</f>
        <v>0</v>
      </c>
      <c r="AQ256" s="50" t="n">
        <f aca="false">IF(AQ222&gt;=5000000,1,0)</f>
        <v>0</v>
      </c>
      <c r="AR256" s="50" t="n">
        <f aca="false">IF(AR222&gt;=5000000,1,0)</f>
        <v>0</v>
      </c>
      <c r="AS256" s="50" t="n">
        <f aca="false">IF(AS222&gt;=5000000,1,0)</f>
        <v>0</v>
      </c>
      <c r="AT256" s="50" t="n">
        <f aca="false">IF(AT222&gt;=5000000,1,0)</f>
        <v>0</v>
      </c>
      <c r="AU256" s="50" t="n">
        <f aca="false">IF(AU222&gt;=5000000,1,0)</f>
        <v>0</v>
      </c>
      <c r="AV256" s="50" t="n">
        <f aca="false">IF(AV222&gt;=5000000,1,0)</f>
        <v>0</v>
      </c>
      <c r="AW256" s="50" t="n">
        <f aca="false">IF(AW222&gt;=5000000,1,0)</f>
        <v>0</v>
      </c>
      <c r="AX256" s="50" t="n">
        <f aca="false">IF(AX222&gt;=5000000,1,0)</f>
        <v>0</v>
      </c>
      <c r="AY256" s="50" t="n">
        <f aca="false">IF(AY222&gt;=5000000,1,0)</f>
        <v>0</v>
      </c>
      <c r="AZ256" s="50" t="n">
        <f aca="false">IF(AZ222&gt;=5000000,1,0)</f>
        <v>0</v>
      </c>
      <c r="BA256" s="50" t="n">
        <f aca="false">IF(BA222&gt;=5000000,1,0)</f>
        <v>0</v>
      </c>
      <c r="BB256" s="50" t="n">
        <f aca="false">IF(BB222&gt;=5000000,1,0)</f>
        <v>0</v>
      </c>
      <c r="BC256" s="50" t="n">
        <f aca="false">IF(BC222&gt;=5000000,1,0)</f>
        <v>0</v>
      </c>
      <c r="BD256" s="50" t="n">
        <f aca="false">IF(BD222&gt;=5000000,1,0)</f>
        <v>0</v>
      </c>
      <c r="BE256" s="50" t="n">
        <f aca="false">IF(BE222&gt;=5000000,1,0)</f>
        <v>0</v>
      </c>
      <c r="BF256" s="50" t="n">
        <f aca="false">IF(BF222&gt;=5000000,1,0)</f>
        <v>0</v>
      </c>
      <c r="BG256" s="50" t="n">
        <f aca="false">IF(BG222&gt;=5000000,1,0)</f>
        <v>0</v>
      </c>
      <c r="BH256" s="50" t="n">
        <f aca="false">IF(BH222&gt;=5000000,1,0)</f>
        <v>1</v>
      </c>
      <c r="BI256" s="50" t="n">
        <f aca="false">IF(BI222&gt;=5000000,1,0)</f>
        <v>1</v>
      </c>
      <c r="BJ256" s="50" t="n">
        <f aca="false">IF(BJ222&gt;=5000000,1,0)</f>
        <v>1</v>
      </c>
      <c r="BK256" s="50" t="n">
        <f aca="false">IF(BK222&gt;=5000000,1,0)</f>
        <v>1</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6"/>
    <col collapsed="false" customWidth="true" hidden="false" outlineLevel="0" max="8" min="2" style="0" width="16"/>
    <col collapsed="false" customWidth="true" hidden="false" outlineLevel="0" max="9" min="9" style="0" width="70"/>
  </cols>
  <sheetData>
    <row r="1" customFormat="false" ht="17.35" hidden="false" customHeight="false" outlineLevel="0" collapsed="false">
      <c r="A1" s="3" t="s">
        <v>234</v>
      </c>
    </row>
    <row r="2" customFormat="false" ht="48" hidden="false" customHeight="true" outlineLevel="0" collapsed="false">
      <c r="A2" s="4" t="s">
        <v>235</v>
      </c>
      <c r="B2" s="4"/>
      <c r="C2" s="4"/>
      <c r="D2" s="4"/>
      <c r="E2" s="4"/>
      <c r="F2" s="4"/>
      <c r="G2" s="4"/>
      <c r="H2" s="4"/>
      <c r="I2" s="4"/>
    </row>
    <row r="4" customFormat="false" ht="15" hidden="false" customHeight="false" outlineLevel="0" collapsed="false">
      <c r="A4" s="6" t="s">
        <v>236</v>
      </c>
    </row>
    <row r="5" customFormat="false" ht="15" hidden="false" customHeight="false" outlineLevel="0" collapsed="false">
      <c r="A5" s="5" t="s">
        <v>237</v>
      </c>
      <c r="B5" s="5" t="s">
        <v>238</v>
      </c>
      <c r="C5" s="5" t="s">
        <v>239</v>
      </c>
      <c r="D5" s="5"/>
      <c r="E5" s="5"/>
      <c r="F5" s="5"/>
      <c r="G5" s="5"/>
      <c r="H5" s="5"/>
      <c r="I5" s="5" t="s">
        <v>240</v>
      </c>
    </row>
    <row r="6" customFormat="false" ht="15" hidden="false" customHeight="false" outlineLevel="0" collapsed="false">
      <c r="A6" s="0" t="s">
        <v>241</v>
      </c>
      <c r="B6" s="52" t="n">
        <v>0.05</v>
      </c>
      <c r="C6" s="52" t="n">
        <v>0.1</v>
      </c>
      <c r="I6" s="0" t="s">
        <v>242</v>
      </c>
    </row>
    <row r="7" customFormat="false" ht="15" hidden="false" customHeight="false" outlineLevel="0" collapsed="false">
      <c r="A7" s="0" t="s">
        <v>243</v>
      </c>
      <c r="B7" s="52" t="n">
        <v>0.1</v>
      </c>
      <c r="C7" s="52" t="n">
        <v>0.5</v>
      </c>
      <c r="I7" s="0" t="s">
        <v>244</v>
      </c>
    </row>
    <row r="8" customFormat="false" ht="15" hidden="false" customHeight="false" outlineLevel="0" collapsed="false">
      <c r="A8" s="0" t="s">
        <v>245</v>
      </c>
      <c r="B8" s="52" t="n">
        <v>0.08</v>
      </c>
      <c r="C8" s="52" t="n">
        <v>0.45</v>
      </c>
      <c r="I8" s="0" t="s">
        <v>246</v>
      </c>
    </row>
    <row r="9" customFormat="false" ht="15" hidden="false" customHeight="false" outlineLevel="0" collapsed="false">
      <c r="A9" s="0" t="s">
        <v>247</v>
      </c>
      <c r="B9" s="52" t="n">
        <v>0.15</v>
      </c>
      <c r="C9" s="52" t="n">
        <v>0.47</v>
      </c>
      <c r="I9" s="0" t="s">
        <v>248</v>
      </c>
    </row>
    <row r="10" customFormat="false" ht="15" hidden="false" customHeight="false" outlineLevel="0" collapsed="false">
      <c r="A10" s="0" t="s">
        <v>249</v>
      </c>
      <c r="B10" s="52" t="n">
        <v>0.15</v>
      </c>
      <c r="C10" s="52" t="n">
        <v>0.5</v>
      </c>
      <c r="I10" s="0" t="s">
        <v>248</v>
      </c>
    </row>
    <row r="11" customFormat="false" ht="15" hidden="false" customHeight="false" outlineLevel="0" collapsed="false">
      <c r="A11" s="0" t="s">
        <v>250</v>
      </c>
      <c r="B11" s="52" t="n">
        <v>0.02</v>
      </c>
      <c r="C11" s="52" t="n">
        <v>0.09</v>
      </c>
      <c r="I11" s="0" t="s">
        <v>251</v>
      </c>
    </row>
    <row r="12" customFormat="false" ht="15" hidden="false" customHeight="false" outlineLevel="0" collapsed="false">
      <c r="A12" s="0" t="s">
        <v>252</v>
      </c>
      <c r="B12" s="52" t="n">
        <v>0.75</v>
      </c>
      <c r="C12" s="52" t="n">
        <v>3.75</v>
      </c>
      <c r="I12" s="0" t="s">
        <v>253</v>
      </c>
    </row>
    <row r="14" customFormat="false" ht="15" hidden="false" customHeight="false" outlineLevel="0" collapsed="false">
      <c r="A14" s="6" t="s">
        <v>254</v>
      </c>
    </row>
    <row r="15" customFormat="false" ht="15" hidden="false" customHeight="false" outlineLevel="0" collapsed="false">
      <c r="A15" s="0" t="s">
        <v>255</v>
      </c>
      <c r="B15" s="53" t="n">
        <v>640</v>
      </c>
    </row>
    <row r="16" customFormat="false" ht="15" hidden="false" customHeight="false" outlineLevel="0" collapsed="false">
      <c r="A16" s="0" t="s">
        <v>256</v>
      </c>
      <c r="B16" s="53" t="n">
        <v>900</v>
      </c>
    </row>
    <row r="17" customFormat="false" ht="15" hidden="false" customHeight="false" outlineLevel="0" collapsed="false">
      <c r="A17" s="0" t="s">
        <v>257</v>
      </c>
      <c r="B17" s="53" t="n">
        <v>1600</v>
      </c>
    </row>
    <row r="18" customFormat="false" ht="15" hidden="false" customHeight="false" outlineLevel="0" collapsed="false">
      <c r="A18" s="0" t="s">
        <v>258</v>
      </c>
      <c r="B18" s="53" t="n">
        <v>350</v>
      </c>
    </row>
    <row r="19" customFormat="false" ht="15" hidden="false" customHeight="false" outlineLevel="0" collapsed="false">
      <c r="A19" s="0" t="s">
        <v>259</v>
      </c>
      <c r="B19" s="53" t="n">
        <v>1.25</v>
      </c>
    </row>
    <row r="20" customFormat="false" ht="15" hidden="false" customHeight="false" outlineLevel="0" collapsed="false">
      <c r="A20" s="0" t="s">
        <v>260</v>
      </c>
      <c r="B20" s="53" t="n">
        <v>700</v>
      </c>
    </row>
    <row r="21" customFormat="false" ht="15" hidden="false" customHeight="false" outlineLevel="0" collapsed="false">
      <c r="A21" s="0" t="s">
        <v>261</v>
      </c>
      <c r="B21" s="53" t="n">
        <v>600</v>
      </c>
    </row>
    <row r="22" customFormat="false" ht="15" hidden="false" customHeight="false" outlineLevel="0" collapsed="false">
      <c r="A22" s="0" t="s">
        <v>262</v>
      </c>
      <c r="B22" s="53" t="n">
        <v>1500</v>
      </c>
    </row>
    <row r="23" customFormat="false" ht="15" hidden="false" customHeight="false" outlineLevel="0" collapsed="false">
      <c r="A23" s="0" t="s">
        <v>263</v>
      </c>
      <c r="B23" s="53" t="n">
        <v>900</v>
      </c>
    </row>
    <row r="24" customFormat="false" ht="15" hidden="false" customHeight="false" outlineLevel="0" collapsed="false">
      <c r="A24" s="0" t="s">
        <v>264</v>
      </c>
      <c r="B24" s="53" t="n">
        <v>0.6</v>
      </c>
    </row>
    <row r="25" customFormat="false" ht="15" hidden="false" customHeight="false" outlineLevel="0" collapsed="false">
      <c r="A25" s="0" t="s">
        <v>265</v>
      </c>
      <c r="B25" s="53" t="n">
        <v>0.06</v>
      </c>
    </row>
    <row r="26" customFormat="false" ht="15" hidden="false" customHeight="false" outlineLevel="0" collapsed="false">
      <c r="A26" s="0" t="s">
        <v>266</v>
      </c>
      <c r="B26" s="53" t="n">
        <v>0.03</v>
      </c>
    </row>
    <row r="27" customFormat="false" ht="15" hidden="false" customHeight="false" outlineLevel="0" collapsed="false">
      <c r="A27" s="0" t="s">
        <v>267</v>
      </c>
      <c r="B27" s="53" t="n">
        <v>0.5</v>
      </c>
    </row>
    <row r="28" customFormat="false" ht="15" hidden="false" customHeight="false" outlineLevel="0" collapsed="false">
      <c r="A28" s="0" t="s">
        <v>268</v>
      </c>
      <c r="B28" s="53" t="n">
        <v>0.2</v>
      </c>
    </row>
    <row r="29" customFormat="false" ht="15" hidden="false" customHeight="false" outlineLevel="0" collapsed="false">
      <c r="A29" s="0" t="s">
        <v>269</v>
      </c>
      <c r="B29" s="53" t="n">
        <v>0.25</v>
      </c>
    </row>
    <row r="30" customFormat="false" ht="15" hidden="false" customHeight="false" outlineLevel="0" collapsed="false">
      <c r="A30" s="0" t="s">
        <v>270</v>
      </c>
      <c r="B30" s="53" t="n">
        <v>0.4</v>
      </c>
    </row>
    <row r="31" customFormat="false" ht="15" hidden="false" customHeight="false" outlineLevel="0" collapsed="false">
      <c r="A31" s="0" t="s">
        <v>271</v>
      </c>
      <c r="B31" s="53" t="n">
        <v>0.15</v>
      </c>
    </row>
    <row r="32" customFormat="false" ht="15" hidden="false" customHeight="false" outlineLevel="0" collapsed="false">
      <c r="A32" s="0" t="s">
        <v>272</v>
      </c>
      <c r="B32" s="54" t="n">
        <v>0.002</v>
      </c>
    </row>
    <row r="33" customFormat="false" ht="15" hidden="false" customHeight="false" outlineLevel="0" collapsed="false">
      <c r="A33" s="0" t="s">
        <v>273</v>
      </c>
      <c r="B33" s="54" t="n">
        <v>1.1</v>
      </c>
    </row>
    <row r="35" customFormat="false" ht="15" hidden="false" customHeight="false" outlineLevel="0" collapsed="false">
      <c r="A35" s="6" t="s">
        <v>274</v>
      </c>
    </row>
    <row r="36" customFormat="false" ht="15" hidden="false" customHeight="false" outlineLevel="0" collapsed="false">
      <c r="A36" s="5" t="s">
        <v>275</v>
      </c>
      <c r="B36" s="5" t="s">
        <v>237</v>
      </c>
      <c r="C36" s="5" t="s">
        <v>276</v>
      </c>
      <c r="D36" s="5" t="s">
        <v>277</v>
      </c>
      <c r="E36" s="5" t="s">
        <v>278</v>
      </c>
    </row>
    <row r="37" customFormat="false" ht="15" hidden="false" customHeight="false" outlineLevel="0" collapsed="false">
      <c r="A37" s="0" t="s">
        <v>279</v>
      </c>
      <c r="B37" s="0" t="s">
        <v>250</v>
      </c>
      <c r="C37" s="0" t="n">
        <f aca="false">$B$15</f>
        <v>640</v>
      </c>
      <c r="D37" s="0" t="n">
        <f aca="false">$B$18</f>
        <v>350</v>
      </c>
      <c r="E37" s="55" t="n">
        <f aca="false">(C37*$B$11+D37*$B$19*$C$11)/1000000</f>
        <v>5.2175E-005</v>
      </c>
    </row>
    <row r="38" customFormat="false" ht="15" hidden="false" customHeight="false" outlineLevel="0" collapsed="false">
      <c r="A38" s="6" t="s">
        <v>280</v>
      </c>
      <c r="E38" s="56" t="n">
        <f aca="false">SUM(E37)</f>
        <v>5.2175E-005</v>
      </c>
    </row>
    <row r="40" customFormat="false" ht="15" hidden="false" customHeight="false" outlineLevel="0" collapsed="false">
      <c r="A40" s="6" t="s">
        <v>281</v>
      </c>
    </row>
    <row r="41" customFormat="false" ht="15" hidden="false" customHeight="false" outlineLevel="0" collapsed="false">
      <c r="A41" s="5" t="s">
        <v>275</v>
      </c>
      <c r="B41" s="5" t="s">
        <v>237</v>
      </c>
      <c r="C41" s="5" t="s">
        <v>276</v>
      </c>
      <c r="D41" s="5" t="s">
        <v>277</v>
      </c>
      <c r="E41" s="5" t="s">
        <v>278</v>
      </c>
    </row>
    <row r="42" customFormat="false" ht="15" hidden="false" customHeight="false" outlineLevel="0" collapsed="false">
      <c r="A42" s="0" t="s">
        <v>279</v>
      </c>
      <c r="B42" s="0" t="s">
        <v>241</v>
      </c>
      <c r="C42" s="0" t="n">
        <f aca="false">$B$15</f>
        <v>640</v>
      </c>
      <c r="D42" s="0" t="n">
        <f aca="false">$B$16</f>
        <v>900</v>
      </c>
      <c r="E42" s="55" t="n">
        <f aca="false">(C42*$B$6+D42*$B$19*$C$6)/1000000</f>
        <v>0.0001445</v>
      </c>
    </row>
    <row r="43" customFormat="false" ht="15" hidden="false" customHeight="false" outlineLevel="0" collapsed="false">
      <c r="A43" s="0" t="s">
        <v>279</v>
      </c>
      <c r="B43" s="0" t="s">
        <v>243</v>
      </c>
      <c r="C43" s="0" t="n">
        <f aca="false">$B$15</f>
        <v>640</v>
      </c>
      <c r="D43" s="0" t="n">
        <f aca="false">$B$16</f>
        <v>900</v>
      </c>
      <c r="E43" s="55" t="n">
        <f aca="false">(C43*$B$7+D43*$B$19*$C$7)/1000000</f>
        <v>0.0006265</v>
      </c>
    </row>
    <row r="44" customFormat="false" ht="15" hidden="false" customHeight="false" outlineLevel="0" collapsed="false">
      <c r="A44" s="0" t="s">
        <v>282</v>
      </c>
      <c r="B44" s="0" t="s">
        <v>243</v>
      </c>
      <c r="C44" s="0" t="n">
        <f aca="false">($B$15+2*$B$16)</f>
        <v>2440</v>
      </c>
      <c r="D44" s="0" t="n">
        <f aca="false">$B$20</f>
        <v>700</v>
      </c>
      <c r="E44" s="55" t="n">
        <f aca="false">(C44*$B$7+D44*$B$19*$C$7)/1000000</f>
        <v>0.0006815</v>
      </c>
    </row>
    <row r="45" customFormat="false" ht="15" hidden="false" customHeight="false" outlineLevel="0" collapsed="false">
      <c r="A45" s="0" t="s">
        <v>283</v>
      </c>
      <c r="B45" s="0" t="s">
        <v>250</v>
      </c>
      <c r="C45" s="0" t="n">
        <f aca="false">($B$15+2*$B$16)</f>
        <v>2440</v>
      </c>
      <c r="D45" s="0" t="n">
        <f aca="false">$B$21</f>
        <v>600</v>
      </c>
      <c r="E45" s="55" t="n">
        <f aca="false">(C45*$B$11+D45*$B$19*$C$11)/1000000</f>
        <v>0.0001163</v>
      </c>
    </row>
    <row r="46" customFormat="false" ht="15" hidden="false" customHeight="false" outlineLevel="0" collapsed="false">
      <c r="A46" s="0" t="s">
        <v>284</v>
      </c>
      <c r="B46" s="0" t="s">
        <v>252</v>
      </c>
      <c r="C46" s="0" t="n">
        <f aca="false">($B$15+$B$22)</f>
        <v>2140</v>
      </c>
      <c r="D46" s="0" t="n">
        <f aca="false">$B$23</f>
        <v>900</v>
      </c>
      <c r="E46" s="55" t="n">
        <f aca="false">(C46*$B$12+D46*$B$19*$C$12)/1000000</f>
        <v>0.00582375</v>
      </c>
    </row>
    <row r="47" customFormat="false" ht="15" hidden="false" customHeight="false" outlineLevel="0" collapsed="false">
      <c r="A47" s="6" t="s">
        <v>280</v>
      </c>
      <c r="E47" s="56" t="n">
        <f aca="false">SUM(E42:E46)</f>
        <v>0.00739255</v>
      </c>
    </row>
    <row r="49" customFormat="false" ht="15" hidden="false" customHeight="false" outlineLevel="0" collapsed="false">
      <c r="A49" s="6" t="s">
        <v>285</v>
      </c>
    </row>
    <row r="50" customFormat="false" ht="15" hidden="false" customHeight="false" outlineLevel="0" collapsed="false">
      <c r="A50" s="5" t="s">
        <v>275</v>
      </c>
      <c r="B50" s="5" t="s">
        <v>237</v>
      </c>
      <c r="C50" s="5" t="s">
        <v>276</v>
      </c>
      <c r="D50" s="5" t="s">
        <v>277</v>
      </c>
      <c r="E50" s="5" t="s">
        <v>278</v>
      </c>
    </row>
    <row r="51" customFormat="false" ht="15" hidden="false" customHeight="false" outlineLevel="0" collapsed="false">
      <c r="A51" s="0" t="s">
        <v>279</v>
      </c>
      <c r="B51" s="0" t="s">
        <v>241</v>
      </c>
      <c r="C51" s="0" t="n">
        <f aca="false">$B$15</f>
        <v>640</v>
      </c>
      <c r="D51" s="0" t="n">
        <f aca="false">$B$16</f>
        <v>900</v>
      </c>
      <c r="E51" s="55" t="n">
        <f aca="false">(C51*$B$6+D51*$B$19*$C$6)/1000000</f>
        <v>0.0001445</v>
      </c>
    </row>
    <row r="52" customFormat="false" ht="15" hidden="false" customHeight="false" outlineLevel="0" collapsed="false">
      <c r="A52" s="0" t="s">
        <v>279</v>
      </c>
      <c r="B52" s="0" t="s">
        <v>243</v>
      </c>
      <c r="C52" s="0" t="n">
        <f aca="false">$B$15</f>
        <v>640</v>
      </c>
      <c r="D52" s="0" t="n">
        <f aca="false">$B$16</f>
        <v>900</v>
      </c>
      <c r="E52" s="55" t="n">
        <f aca="false">(C52*$B$7+D52*$B$19*$C$7)/1000000</f>
        <v>0.0006265</v>
      </c>
    </row>
    <row r="53" customFormat="false" ht="15" hidden="false" customHeight="false" outlineLevel="0" collapsed="false">
      <c r="A53" s="0" t="s">
        <v>279</v>
      </c>
      <c r="B53" s="0" t="s">
        <v>245</v>
      </c>
      <c r="C53" s="0" t="n">
        <f aca="false">$B$15</f>
        <v>640</v>
      </c>
      <c r="D53" s="0" t="n">
        <f aca="false">$B$16</f>
        <v>900</v>
      </c>
      <c r="E53" s="55" t="n">
        <f aca="false">(C53*$B$8+D53*$B$19*$C$8)/1000000</f>
        <v>0.00055745</v>
      </c>
    </row>
    <row r="54" customFormat="false" ht="15" hidden="false" customHeight="false" outlineLevel="0" collapsed="false">
      <c r="A54" s="0" t="s">
        <v>282</v>
      </c>
      <c r="B54" s="0" t="s">
        <v>243</v>
      </c>
      <c r="C54" s="0" t="n">
        <f aca="false">($B$15+3*$B$16)</f>
        <v>3340</v>
      </c>
      <c r="D54" s="0" t="n">
        <f aca="false">$B$20</f>
        <v>700</v>
      </c>
      <c r="E54" s="55" t="n">
        <f aca="false">(C54*$B$7+D54*$B$19*$C$7)/1000000</f>
        <v>0.0007715</v>
      </c>
    </row>
    <row r="55" customFormat="false" ht="15" hidden="false" customHeight="false" outlineLevel="0" collapsed="false">
      <c r="A55" s="0" t="s">
        <v>283</v>
      </c>
      <c r="B55" s="0" t="s">
        <v>250</v>
      </c>
      <c r="C55" s="0" t="n">
        <f aca="false">($B$15+3*$B$16)</f>
        <v>3340</v>
      </c>
      <c r="D55" s="0" t="n">
        <f aca="false">$B$21</f>
        <v>600</v>
      </c>
      <c r="E55" s="55" t="n">
        <f aca="false">(C55*$B$11+D55*$B$19*$C$11)/1000000</f>
        <v>0.0001343</v>
      </c>
    </row>
    <row r="56" customFormat="false" ht="15" hidden="false" customHeight="false" outlineLevel="0" collapsed="false">
      <c r="A56" s="0" t="s">
        <v>284</v>
      </c>
      <c r="B56" s="0" t="s">
        <v>252</v>
      </c>
      <c r="C56" s="0" t="n">
        <f aca="false">($B$15+$B$22)</f>
        <v>2140</v>
      </c>
      <c r="D56" s="0" t="n">
        <f aca="false">$B$23</f>
        <v>900</v>
      </c>
      <c r="E56" s="55" t="n">
        <f aca="false">(C56*$B$12+D56*$B$19*$C$12)/1000000</f>
        <v>0.00582375</v>
      </c>
    </row>
    <row r="57" customFormat="false" ht="15" hidden="false" customHeight="false" outlineLevel="0" collapsed="false">
      <c r="A57" s="6" t="s">
        <v>280</v>
      </c>
      <c r="E57" s="56" t="n">
        <f aca="false">SUM(E51:E56)</f>
        <v>0.008058</v>
      </c>
    </row>
    <row r="59" customFormat="false" ht="15" hidden="false" customHeight="false" outlineLevel="0" collapsed="false">
      <c r="A59" s="6" t="s">
        <v>286</v>
      </c>
    </row>
    <row r="60" customFormat="false" ht="15" hidden="false" customHeight="false" outlineLevel="0" collapsed="false">
      <c r="A60" s="5" t="s">
        <v>275</v>
      </c>
      <c r="B60" s="5" t="s">
        <v>237</v>
      </c>
      <c r="C60" s="5" t="s">
        <v>276</v>
      </c>
      <c r="D60" s="5" t="s">
        <v>277</v>
      </c>
      <c r="E60" s="5" t="s">
        <v>278</v>
      </c>
    </row>
    <row r="61" customFormat="false" ht="15" hidden="false" customHeight="false" outlineLevel="0" collapsed="false">
      <c r="A61" s="0" t="s">
        <v>279</v>
      </c>
      <c r="B61" s="0" t="s">
        <v>241</v>
      </c>
      <c r="C61" s="0" t="n">
        <f aca="false">$B$15</f>
        <v>640</v>
      </c>
      <c r="D61" s="0" t="n">
        <f aca="false">$B$17</f>
        <v>1600</v>
      </c>
      <c r="E61" s="55" t="n">
        <f aca="false">(C61*$B$6+D61*$B$19*$C$6)/1000000</f>
        <v>0.000232</v>
      </c>
    </row>
    <row r="62" customFormat="false" ht="15" hidden="false" customHeight="false" outlineLevel="0" collapsed="false">
      <c r="A62" s="0" t="s">
        <v>279</v>
      </c>
      <c r="B62" s="0" t="s">
        <v>243</v>
      </c>
      <c r="C62" s="0" t="n">
        <f aca="false">$B$15</f>
        <v>640</v>
      </c>
      <c r="D62" s="0" t="n">
        <f aca="false">$B$17</f>
        <v>1600</v>
      </c>
      <c r="E62" s="55" t="n">
        <f aca="false">(C62*$B$7+D62*$B$19*$C$7)/1000000</f>
        <v>0.001064</v>
      </c>
    </row>
    <row r="63" customFormat="false" ht="15" hidden="false" customHeight="false" outlineLevel="0" collapsed="false">
      <c r="A63" s="0" t="s">
        <v>279</v>
      </c>
      <c r="B63" s="0" t="s">
        <v>245</v>
      </c>
      <c r="C63" s="0" t="n">
        <f aca="false">$B$15</f>
        <v>640</v>
      </c>
      <c r="D63" s="0" t="n">
        <f aca="false">$B$17</f>
        <v>1600</v>
      </c>
      <c r="E63" s="55" t="n">
        <f aca="false">(C63*$B$8+D63*$B$19*$C$8)/1000000</f>
        <v>0.0009512</v>
      </c>
    </row>
    <row r="64" customFormat="false" ht="15" hidden="false" customHeight="false" outlineLevel="0" collapsed="false">
      <c r="A64" s="0" t="s">
        <v>279</v>
      </c>
      <c r="B64" s="0" t="s">
        <v>247</v>
      </c>
      <c r="C64" s="0" t="n">
        <f aca="false">$B$15</f>
        <v>640</v>
      </c>
      <c r="D64" s="0" t="n">
        <f aca="false">$B$17</f>
        <v>1600</v>
      </c>
      <c r="E64" s="55" t="n">
        <f aca="false">(C64*$B$9+D64*$B$19*$C$9)/1000000</f>
        <v>0.001036</v>
      </c>
    </row>
    <row r="65" customFormat="false" ht="15" hidden="false" customHeight="false" outlineLevel="0" collapsed="false">
      <c r="A65" s="0" t="s">
        <v>279</v>
      </c>
      <c r="B65" s="0" t="s">
        <v>249</v>
      </c>
      <c r="C65" s="0" t="n">
        <f aca="false">$B$15</f>
        <v>640</v>
      </c>
      <c r="D65" s="0" t="n">
        <f aca="false">$B$17</f>
        <v>1600</v>
      </c>
      <c r="E65" s="55" t="n">
        <f aca="false">(C65*$B$10+D65*$B$19*$C$10)/1000000</f>
        <v>0.001096</v>
      </c>
    </row>
    <row r="66" customFormat="false" ht="15" hidden="false" customHeight="false" outlineLevel="0" collapsed="false">
      <c r="A66" s="0" t="s">
        <v>282</v>
      </c>
      <c r="B66" s="0" t="s">
        <v>243</v>
      </c>
      <c r="C66" s="0" t="n">
        <f aca="false">($B$15+5*$B$17)</f>
        <v>8640</v>
      </c>
      <c r="D66" s="0" t="n">
        <f aca="false">$B$20</f>
        <v>700</v>
      </c>
      <c r="E66" s="55" t="n">
        <f aca="false">(C66*$B$7+D66*$B$19*$C$7)/1000000</f>
        <v>0.0013015</v>
      </c>
    </row>
    <row r="67" customFormat="false" ht="15" hidden="false" customHeight="false" outlineLevel="0" collapsed="false">
      <c r="A67" s="0" t="s">
        <v>283</v>
      </c>
      <c r="B67" s="0" t="s">
        <v>250</v>
      </c>
      <c r="C67" s="0" t="n">
        <f aca="false">($B$15+5*$B$17)</f>
        <v>8640</v>
      </c>
      <c r="D67" s="0" t="n">
        <f aca="false">$B$21</f>
        <v>600</v>
      </c>
      <c r="E67" s="55" t="n">
        <f aca="false">(C67*$B$11+D67*$B$19*$C$11)/1000000</f>
        <v>0.0002403</v>
      </c>
    </row>
    <row r="68" customFormat="false" ht="15" hidden="false" customHeight="false" outlineLevel="0" collapsed="false">
      <c r="A68" s="0" t="s">
        <v>287</v>
      </c>
      <c r="B68" s="0" t="s">
        <v>252</v>
      </c>
      <c r="C68" s="0" t="n">
        <f aca="false">($B$15+5*$B$17+800)</f>
        <v>9440</v>
      </c>
      <c r="D68" s="0" t="n">
        <f aca="false">900</f>
        <v>900</v>
      </c>
      <c r="E68" s="55" t="n">
        <f aca="false">(C68*$B$12+D68*$B$19*$C$12)/1000000*$B$24</f>
        <v>0.00677925</v>
      </c>
    </row>
    <row r="69" customFormat="false" ht="15" hidden="false" customHeight="false" outlineLevel="0" collapsed="false">
      <c r="A69" s="0" t="s">
        <v>284</v>
      </c>
      <c r="B69" s="0" t="s">
        <v>252</v>
      </c>
      <c r="C69" s="0" t="n">
        <f aca="false">($B$15+$B$22)</f>
        <v>2140</v>
      </c>
      <c r="D69" s="0" t="n">
        <f aca="false">$B$23</f>
        <v>900</v>
      </c>
      <c r="E69" s="55" t="n">
        <f aca="false">(C69*$B$12+D69*$B$19*$C$12)/1000000</f>
        <v>0.00582375</v>
      </c>
    </row>
    <row r="70" customFormat="false" ht="15" hidden="false" customHeight="false" outlineLevel="0" collapsed="false">
      <c r="A70" s="6" t="s">
        <v>280</v>
      </c>
      <c r="E70" s="56" t="n">
        <f aca="false">SUM(E61:E69)</f>
        <v>0.018524</v>
      </c>
    </row>
    <row r="72" customFormat="false" ht="15" hidden="false" customHeight="false" outlineLevel="0" collapsed="false">
      <c r="A72" s="6" t="s">
        <v>288</v>
      </c>
    </row>
    <row r="73" customFormat="false" ht="15" hidden="false" customHeight="false" outlineLevel="0" collapsed="false">
      <c r="A73" s="0" t="s">
        <v>289</v>
      </c>
      <c r="B73" s="57" t="n">
        <f aca="false">$E$38*$B$28+$E$47*$B$29+$E$57*$B$30+$E$70*$B$31</f>
        <v>0.0078603725</v>
      </c>
    </row>
    <row r="74" customFormat="false" ht="15" hidden="false" customHeight="false" outlineLevel="0" collapsed="false">
      <c r="A74" s="0" t="s">
        <v>290</v>
      </c>
      <c r="B74" s="31" t="n">
        <f aca="false">$B$28+$B$29+$B$30+$B$31</f>
        <v>1</v>
      </c>
    </row>
    <row r="75" customFormat="false" ht="15" hidden="false" customHeight="false" outlineLevel="0" collapsed="false">
      <c r="A75" s="0" t="s">
        <v>291</v>
      </c>
      <c r="B75" s="57" t="n">
        <f aca="false">B73*(1+$B$25)</f>
        <v>0.00833199485</v>
      </c>
    </row>
    <row r="76" customFormat="false" ht="15" hidden="false" customHeight="false" outlineLevel="0" collapsed="false">
      <c r="A76" s="0" t="s">
        <v>292</v>
      </c>
      <c r="B76" s="57" t="n">
        <f aca="false">B75/(1-$B$26)*(1-$B$26+$B$26*$B$27)</f>
        <v>0.00846084013118557</v>
      </c>
    </row>
    <row r="77" customFormat="false" ht="15" hidden="false" customHeight="false" outlineLevel="0" collapsed="false">
      <c r="A77" s="0" t="s">
        <v>293</v>
      </c>
      <c r="B77" s="58" t="n">
        <f aca="false">B76*$B$33/$B$32</f>
        <v>4.65346207215206</v>
      </c>
    </row>
    <row r="78" customFormat="false" ht="15" hidden="false" customHeight="false" outlineLevel="0" collapsed="false">
      <c r="A78" s="0" t="s">
        <v>294</v>
      </c>
    </row>
    <row r="80" customFormat="false" ht="15" hidden="false" customHeight="false" outlineLevel="0" collapsed="false">
      <c r="A80" s="6" t="s">
        <v>295</v>
      </c>
    </row>
    <row r="81" customFormat="false" ht="41.75" hidden="false" customHeight="false" outlineLevel="0" collapsed="false">
      <c r="A81" s="5" t="s">
        <v>296</v>
      </c>
      <c r="B81" s="5" t="s">
        <v>297</v>
      </c>
      <c r="C81" s="5" t="s">
        <v>298</v>
      </c>
      <c r="D81" s="5" t="s">
        <v>299</v>
      </c>
      <c r="E81" s="5" t="s">
        <v>300</v>
      </c>
      <c r="F81" s="5" t="s">
        <v>301</v>
      </c>
      <c r="G81" s="5" t="s">
        <v>302</v>
      </c>
      <c r="H81" s="5" t="s">
        <v>303</v>
      </c>
    </row>
    <row r="82" customFormat="false" ht="15" hidden="false" customHeight="false" outlineLevel="0" collapsed="false">
      <c r="A82" s="0" t="s">
        <v>304</v>
      </c>
      <c r="B82" s="52" t="n">
        <v>19.99</v>
      </c>
      <c r="C82" s="52" t="n">
        <v>2400</v>
      </c>
      <c r="D82" s="36" t="n">
        <f aca="false">C82*$B$32/$B$33</f>
        <v>4.36363636363636</v>
      </c>
      <c r="E82" s="12" t="n">
        <f aca="false">C82/$B$77</f>
        <v>515.745043751928</v>
      </c>
      <c r="F82" s="36" t="n">
        <f aca="false">B82*0.027+0.3</f>
        <v>0.83973</v>
      </c>
      <c r="G82" s="36" t="n">
        <f aca="false">B82-D82-F82</f>
        <v>14.7866336363636</v>
      </c>
      <c r="H82" s="31" t="n">
        <f aca="false">G82/B82</f>
        <v>0.739701532584474</v>
      </c>
    </row>
    <row r="83" customFormat="false" ht="15" hidden="false" customHeight="false" outlineLevel="0" collapsed="false">
      <c r="A83" s="0" t="s">
        <v>305</v>
      </c>
      <c r="B83" s="52" t="n">
        <v>44.99</v>
      </c>
      <c r="C83" s="52" t="n">
        <v>6000</v>
      </c>
      <c r="D83" s="36" t="n">
        <f aca="false">C83*$B$32/$B$33</f>
        <v>10.9090909090909</v>
      </c>
      <c r="E83" s="12" t="n">
        <f aca="false">C83/$B$77</f>
        <v>1289.36260937982</v>
      </c>
      <c r="F83" s="36" t="n">
        <f aca="false">B83*0.027+0.3</f>
        <v>1.51473</v>
      </c>
      <c r="G83" s="36" t="n">
        <f aca="false">B83-D83-F83</f>
        <v>32.5661790909091</v>
      </c>
      <c r="H83" s="31" t="n">
        <f aca="false">G83/B83</f>
        <v>0.723853725070218</v>
      </c>
    </row>
    <row r="84" customFormat="false" ht="15" hidden="false" customHeight="false" outlineLevel="0" collapsed="false">
      <c r="A84" s="0" t="s">
        <v>306</v>
      </c>
      <c r="B84" s="52" t="n">
        <v>99.99</v>
      </c>
      <c r="C84" s="52" t="n">
        <v>13500</v>
      </c>
      <c r="D84" s="36" t="n">
        <f aca="false">C84*$B$32/$B$33</f>
        <v>24.5454545454545</v>
      </c>
      <c r="E84" s="12" t="n">
        <f aca="false">C84/$B$77</f>
        <v>2901.06587110459</v>
      </c>
      <c r="F84" s="36" t="n">
        <f aca="false">B84*0.027+0.3</f>
        <v>2.99973</v>
      </c>
      <c r="G84" s="36" t="n">
        <f aca="false">B84-D84-F84</f>
        <v>72.4448154545455</v>
      </c>
      <c r="H84" s="31" t="n">
        <f aca="false">G84/B84</f>
        <v>0.724520606606115</v>
      </c>
    </row>
    <row r="85" customFormat="false" ht="28.35" hidden="false" customHeight="true" outlineLevel="0" collapsed="false">
      <c r="A85" s="4" t="s">
        <v>307</v>
      </c>
      <c r="B85" s="4"/>
      <c r="C85" s="4"/>
      <c r="D85" s="4"/>
      <c r="E85" s="4"/>
      <c r="F85" s="4"/>
      <c r="G85" s="4"/>
      <c r="H85" s="4"/>
    </row>
    <row r="87" customFormat="false" ht="15" hidden="false" customHeight="false" outlineLevel="0" collapsed="false">
      <c r="A87" s="6" t="s">
        <v>308</v>
      </c>
    </row>
    <row r="88" customFormat="false" ht="28.35" hidden="false" customHeight="false" outlineLevel="0" collapsed="false">
      <c r="A88" s="59" t="s">
        <v>309</v>
      </c>
      <c r="B88" s="60" t="n">
        <v>6.5</v>
      </c>
    </row>
    <row r="89" customFormat="false" ht="41.75" hidden="false" customHeight="false" outlineLevel="0" collapsed="false">
      <c r="A89" s="59" t="s">
        <v>310</v>
      </c>
      <c r="B89" s="61" t="n">
        <v>1000</v>
      </c>
    </row>
    <row r="90" customFormat="false" ht="15" hidden="false" customHeight="false" outlineLevel="0" collapsed="false">
      <c r="A90" s="59" t="s">
        <v>311</v>
      </c>
      <c r="B90" s="12" t="n">
        <f aca="false">B89/B88</f>
        <v>153.846153846154</v>
      </c>
    </row>
    <row r="91" customFormat="false" ht="15" hidden="false" customHeight="false" outlineLevel="0" collapsed="false">
      <c r="A91" s="59" t="s">
        <v>312</v>
      </c>
      <c r="B91" s="12" t="n">
        <f aca="false">B90*30</f>
        <v>4615.38461538462</v>
      </c>
    </row>
    <row r="92" customFormat="false" ht="15" hidden="false" customHeight="false" outlineLevel="0" collapsed="false">
      <c r="A92" s="59" t="s">
        <v>313</v>
      </c>
      <c r="B92" s="35" t="n">
        <v>0</v>
      </c>
    </row>
    <row r="93" customFormat="false" ht="28.35" hidden="false" customHeight="false" outlineLevel="0" collapsed="false">
      <c r="A93" s="59" t="s">
        <v>314</v>
      </c>
      <c r="B93" s="57" t="n">
        <f aca="false">(6*($B$15*$B$11+$B$16*$B$19*$C$11)/1000000)</f>
        <v>0.0006843</v>
      </c>
    </row>
    <row r="94" customFormat="false" ht="28.35" hidden="false" customHeight="false" outlineLevel="0" collapsed="false">
      <c r="A94" s="59" t="s">
        <v>315</v>
      </c>
      <c r="B94" s="62" t="n">
        <v>0.052</v>
      </c>
    </row>
    <row r="95" customFormat="false" ht="28.35" hidden="false" customHeight="false" outlineLevel="0" collapsed="false">
      <c r="A95" s="59" t="s">
        <v>316</v>
      </c>
      <c r="B95" s="35" t="n">
        <v>2.4</v>
      </c>
    </row>
    <row r="97" customFormat="false" ht="48" hidden="false" customHeight="true" outlineLevel="0" collapsed="false">
      <c r="A97" s="4" t="s">
        <v>317</v>
      </c>
      <c r="B97" s="4"/>
      <c r="C97" s="4"/>
      <c r="D97" s="4"/>
      <c r="E97" s="4"/>
      <c r="F97" s="4"/>
      <c r="G97" s="4"/>
      <c r="H97" s="4"/>
    </row>
  </sheetData>
  <mergeCells count="3">
    <mergeCell ref="A2:I2"/>
    <mergeCell ref="A85:H85"/>
    <mergeCell ref="A97:H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62"/>
    <col collapsed="false" customWidth="true" hidden="false" outlineLevel="0" max="8" min="2" style="0" width="17"/>
  </cols>
  <sheetData>
    <row r="1" customFormat="false" ht="17.35" hidden="false" customHeight="false" outlineLevel="0" collapsed="false">
      <c r="A1" s="3" t="s">
        <v>318</v>
      </c>
    </row>
    <row r="2" customFormat="false" ht="39.75" hidden="false" customHeight="true" outlineLevel="0" collapsed="false">
      <c r="A2" s="4" t="s">
        <v>319</v>
      </c>
      <c r="B2" s="4"/>
      <c r="C2" s="4"/>
      <c r="D2" s="4"/>
      <c r="E2" s="4"/>
      <c r="F2" s="4"/>
      <c r="G2" s="4"/>
    </row>
    <row r="4" customFormat="false" ht="15" hidden="false" customHeight="false" outlineLevel="0" collapsed="false">
      <c r="A4" s="0" t="s">
        <v>320</v>
      </c>
      <c r="B4" s="10" t="n">
        <v>1000000</v>
      </c>
    </row>
    <row r="5" customFormat="false" ht="15" hidden="false" customHeight="false" outlineLevel="0" collapsed="false">
      <c r="A5" s="0" t="s">
        <v>321</v>
      </c>
      <c r="B5" s="43" t="n">
        <v>330000</v>
      </c>
    </row>
    <row r="6" customFormat="false" ht="15" hidden="false" customHeight="false" outlineLevel="0" collapsed="false">
      <c r="A6" s="0" t="s">
        <v>322</v>
      </c>
      <c r="B6" s="43" t="n">
        <v>5000</v>
      </c>
    </row>
    <row r="8" customFormat="false" ht="15" hidden="false" customHeight="false" outlineLevel="0" collapsed="false">
      <c r="A8" s="5" t="s">
        <v>323</v>
      </c>
      <c r="B8" s="5" t="s">
        <v>17</v>
      </c>
      <c r="C8" s="5" t="s">
        <v>18</v>
      </c>
      <c r="D8" s="5" t="s">
        <v>19</v>
      </c>
    </row>
    <row r="9" customFormat="false" ht="15" hidden="false" customHeight="false" outlineLevel="0" collapsed="false">
      <c r="A9" s="0" t="s">
        <v>324</v>
      </c>
      <c r="B9" s="11" t="n">
        <f aca="false">(Model!$C$28*Model!$C$6+Model!$C$29*Model!$C$7+Model!$C$30*Model!$C$8)*(1+Model!$C$38)</f>
        <v>32.59</v>
      </c>
      <c r="C9" s="11" t="n">
        <f aca="false">(Model!$D$28*Model!$D$6+Model!$D$29*Model!$D$7+Model!$D$30*Model!$D$8)*(1+Model!$D$38)</f>
        <v>37.4748</v>
      </c>
      <c r="D9" s="11" t="n">
        <f aca="false">(Model!$E$28*Model!$E$6+Model!$E$29*Model!$E$7+Model!$E$30*Model!$E$8)*(1+Model!$E$38)</f>
        <v>44.0895</v>
      </c>
    </row>
    <row r="10" customFormat="false" ht="15" hidden="false" customHeight="false" outlineLevel="0" collapsed="false">
      <c r="A10" s="0" t="s">
        <v>325</v>
      </c>
      <c r="B10" s="11" t="n">
        <f aca="false">-B9*Model!$C$15</f>
        <v>-1.6295</v>
      </c>
      <c r="C10" s="11" t="n">
        <f aca="false">-C9*Model!$D$15</f>
        <v>-1.124244</v>
      </c>
      <c r="D10" s="11" t="n">
        <f aca="false">-D9*Model!$E$15</f>
        <v>-0.88179</v>
      </c>
    </row>
    <row r="11" customFormat="false" ht="15" hidden="false" customHeight="false" outlineLevel="0" collapsed="false">
      <c r="A11" s="0" t="s">
        <v>326</v>
      </c>
      <c r="B11" s="11" t="n">
        <f aca="false">-(B9*(Model!$C$9+Model!$C$11*Model!$C$12)+Model!$C$10+Model!$C$14*Model!$C$13)</f>
        <v>-1.484355</v>
      </c>
      <c r="C11" s="11" t="n">
        <f aca="false">-(C9*(Model!$D$9+Model!$D$11*Model!$D$12)+Model!$D$10+Model!$D$14*Model!$D$13)</f>
        <v>-1.6228806</v>
      </c>
      <c r="D11" s="11" t="n">
        <f aca="false">-(D9*(Model!$E$9+Model!$E$11*Model!$E$12)+Model!$E$10+Model!$E$14*Model!$E$13)</f>
        <v>-1.83608775</v>
      </c>
    </row>
    <row r="12" customFormat="false" ht="15" hidden="false" customHeight="false" outlineLevel="0" collapsed="false">
      <c r="A12" s="0" t="s">
        <v>327</v>
      </c>
      <c r="B12" s="11" t="n">
        <f aca="false">-(Model!$C$28*Model!$C$41+Model!$C$29*Model!$C$42+Model!$C$30*Model!$C$43)*Model!$C$40</f>
        <v>-3.44779235345812</v>
      </c>
      <c r="C12" s="11" t="n">
        <f aca="false">-(Model!$D$28*Model!$D$41+Model!$D$29*Model!$D$42+Model!$D$30*Model!$D$43)*Model!$D$40</f>
        <v>-2.32673103607603</v>
      </c>
      <c r="D12" s="11" t="n">
        <f aca="false">-(Model!$E$28*Model!$E$41+Model!$E$29*Model!$E$42+Model!$E$30*Model!$E$43)*Model!$E$40</f>
        <v>-2.23366179463299</v>
      </c>
    </row>
    <row r="13" customFormat="false" ht="15" hidden="false" customHeight="false" outlineLevel="0" collapsed="false">
      <c r="A13" s="0" t="s">
        <v>328</v>
      </c>
      <c r="B13" s="11" t="n">
        <f aca="false">-(Model!$C$28*Model!$C$44+Model!$C$29*Model!$C$45+Model!$C$30*Model!$C$46)</f>
        <v>-1.19</v>
      </c>
      <c r="C13" s="11" t="n">
        <f aca="false">-(Model!$D$28*Model!$D$44+Model!$D$29*Model!$D$45+Model!$D$30*Model!$D$46)</f>
        <v>-0.925</v>
      </c>
      <c r="D13" s="11" t="n">
        <f aca="false">-(Model!$E$28*Model!$E$44+Model!$E$29*Model!$E$45+Model!$E$30*Model!$E$46)</f>
        <v>-0.85</v>
      </c>
    </row>
    <row r="14" customFormat="false" ht="15" hidden="false" customHeight="false" outlineLevel="0" collapsed="false">
      <c r="A14" s="0" t="s">
        <v>329</v>
      </c>
      <c r="B14" s="11" t="n">
        <f aca="false">(B12+B13)*Model!$C$18</f>
        <v>-0.255078579440197</v>
      </c>
      <c r="C14" s="11" t="n">
        <f aca="false">(C12+C13)*Model!$D$18</f>
        <v>-0.178845206984182</v>
      </c>
      <c r="D14" s="11" t="n">
        <f aca="false">(D12+D13)*Model!$E$18</f>
        <v>-0.169601398704814</v>
      </c>
    </row>
    <row r="15" customFormat="false" ht="15" hidden="false" customHeight="false" outlineLevel="0" collapsed="false">
      <c r="A15" s="0" t="s">
        <v>330</v>
      </c>
      <c r="B15" s="11" t="n">
        <f aca="false">-Model!$C$55/60*Model!$C$56</f>
        <v>-3</v>
      </c>
      <c r="C15" s="11" t="n">
        <f aca="false">-Model!$D$55/60*Model!$D$56</f>
        <v>-2</v>
      </c>
      <c r="D15" s="11" t="n">
        <f aca="false">-Model!$E$55/60*Model!$E$56</f>
        <v>-1.5</v>
      </c>
    </row>
    <row r="16" customFormat="false" ht="15" hidden="false" customHeight="false" outlineLevel="0" collapsed="false">
      <c r="A16" s="0" t="s">
        <v>331</v>
      </c>
      <c r="B16" s="11" t="n">
        <f aca="false">-Model!$C$54</f>
        <v>-0.04</v>
      </c>
      <c r="C16" s="11" t="n">
        <f aca="false">-Model!$D$54</f>
        <v>-0.03</v>
      </c>
      <c r="D16" s="11" t="n">
        <f aca="false">-Model!$E$54</f>
        <v>-0.02</v>
      </c>
    </row>
    <row r="17" customFormat="false" ht="15" hidden="false" customHeight="false" outlineLevel="0" collapsed="false">
      <c r="A17" s="6" t="s">
        <v>332</v>
      </c>
      <c r="B17" s="11" t="n">
        <f aca="false">SUM(B9:B16)</f>
        <v>21.5432740671017</v>
      </c>
      <c r="C17" s="11" t="n">
        <f aca="false">SUM(C9:C16)</f>
        <v>29.2670991569398</v>
      </c>
      <c r="D17" s="11" t="n">
        <f aca="false">SUM(D9:D16)</f>
        <v>36.5983590566622</v>
      </c>
    </row>
    <row r="19" customFormat="false" ht="15" hidden="false" customHeight="false" outlineLevel="0" collapsed="false">
      <c r="A19" s="5" t="s">
        <v>333</v>
      </c>
      <c r="B19" s="5" t="s">
        <v>17</v>
      </c>
      <c r="C19" s="5" t="s">
        <v>18</v>
      </c>
      <c r="D19" s="5" t="s">
        <v>19</v>
      </c>
    </row>
    <row r="20" customFormat="false" ht="15" hidden="false" customHeight="false" outlineLevel="0" collapsed="false">
      <c r="A20" s="0" t="s">
        <v>334</v>
      </c>
      <c r="B20" s="7" t="n">
        <f aca="false">(Model!$C$53+Model!$C$57)*12</f>
        <v>1200</v>
      </c>
      <c r="C20" s="7" t="n">
        <f aca="false">(Model!$D$53+Model!$D$57)*12</f>
        <v>1200</v>
      </c>
      <c r="D20" s="7" t="n">
        <f aca="false">(Model!$E$53+Model!$E$57)*12</f>
        <v>1200</v>
      </c>
    </row>
    <row r="21" customFormat="false" ht="15" hidden="false" customHeight="false" outlineLevel="0" collapsed="false">
      <c r="A21" s="0" t="s">
        <v>335</v>
      </c>
      <c r="B21" s="12" t="n">
        <f aca="false">($B$4+B20)/(B17*12)</f>
        <v>3872.82513667422</v>
      </c>
      <c r="C21" s="12" t="n">
        <f aca="false">($B$4+C20)/(C17*12)</f>
        <v>2850.75513927555</v>
      </c>
      <c r="D21" s="12" t="n">
        <f aca="false">($B$4+D20)/(D17*12)</f>
        <v>2279.70148071831</v>
      </c>
    </row>
    <row r="22" customFormat="false" ht="15" hidden="false" customHeight="false" outlineLevel="0" collapsed="false">
      <c r="A22" s="0" t="s">
        <v>336</v>
      </c>
      <c r="B22" s="7" t="n">
        <f aca="false">B21*B9</f>
        <v>126215.371204213</v>
      </c>
      <c r="C22" s="7" t="n">
        <f aca="false">C21*C9</f>
        <v>106831.478693324</v>
      </c>
      <c r="D22" s="7" t="n">
        <f aca="false">D21*D9</f>
        <v>100510.89843413</v>
      </c>
    </row>
    <row r="23" customFormat="false" ht="15" hidden="false" customHeight="false" outlineLevel="0" collapsed="false">
      <c r="A23" s="0" t="s">
        <v>337</v>
      </c>
      <c r="B23" s="7" t="n">
        <f aca="false">B22*12</f>
        <v>1514584.45445056</v>
      </c>
      <c r="C23" s="7" t="n">
        <f aca="false">C22*12</f>
        <v>1281977.74431988</v>
      </c>
      <c r="D23" s="7" t="n">
        <f aca="false">D22*12</f>
        <v>1206130.78120956</v>
      </c>
    </row>
    <row r="24" customFormat="false" ht="15" hidden="false" customHeight="false" outlineLevel="0" collapsed="false">
      <c r="A24" s="0" t="s">
        <v>338</v>
      </c>
      <c r="B24" s="12" t="n">
        <f aca="false">B21*B32</f>
        <v>405.097509296124</v>
      </c>
      <c r="C24" s="12" t="n">
        <f aca="false">C21*C32</f>
        <v>213.806635445667</v>
      </c>
      <c r="D24" s="12" t="n">
        <f aca="false">D21*D32</f>
        <v>129.373059030764</v>
      </c>
    </row>
    <row r="25" customFormat="false" ht="15" hidden="false" customHeight="false" outlineLevel="0" collapsed="false">
      <c r="A25" s="0" t="s">
        <v>339</v>
      </c>
      <c r="B25" s="12" t="n">
        <f aca="false">B24/B33</f>
        <v>3086457.21368475</v>
      </c>
      <c r="C25" s="12" t="n">
        <f aca="false">C24/C33</f>
        <v>475125.856545926</v>
      </c>
      <c r="D25" s="12" t="n">
        <f aca="false">D24/D33</f>
        <v>84008.4798901067</v>
      </c>
    </row>
    <row r="26" customFormat="false" ht="15" hidden="false" customHeight="false" outlineLevel="0" collapsed="false">
      <c r="A26" s="0" t="s">
        <v>340</v>
      </c>
      <c r="B26" s="7" t="n">
        <f aca="false">B20+$B$5+$B$6*12</f>
        <v>391200</v>
      </c>
      <c r="C26" s="7" t="n">
        <f aca="false">C20+$B$5+$B$6*12</f>
        <v>391200</v>
      </c>
      <c r="D26" s="7" t="n">
        <f aca="false">D20+$B$5+$B$6*12</f>
        <v>391200</v>
      </c>
    </row>
    <row r="27" customFormat="false" ht="15" hidden="false" customHeight="false" outlineLevel="0" collapsed="false">
      <c r="A27" s="0" t="s">
        <v>341</v>
      </c>
      <c r="B27" s="12" t="n">
        <f aca="false">($B$4+B26)/(B17*12)</f>
        <v>5381.41663018496</v>
      </c>
      <c r="C27" s="12" t="n">
        <f aca="false">($B$4+C26)/(C17*12)</f>
        <v>3961.21708925305</v>
      </c>
      <c r="D27" s="12" t="n">
        <f aca="false">($B$4+D26)/(D17*12)</f>
        <v>3167.71943665134</v>
      </c>
    </row>
    <row r="28" customFormat="false" ht="15" hidden="false" customHeight="false" outlineLevel="0" collapsed="false">
      <c r="A28" s="0" t="s">
        <v>342</v>
      </c>
      <c r="B28" s="7" t="n">
        <f aca="false">B27*B9</f>
        <v>175380.367977728</v>
      </c>
      <c r="C28" s="7" t="n">
        <f aca="false">C27*C9</f>
        <v>148445.81817634</v>
      </c>
      <c r="D28" s="7" t="n">
        <f aca="false">D27*D9</f>
        <v>139663.166102239</v>
      </c>
    </row>
    <row r="29" customFormat="false" ht="15" hidden="false" customHeight="false" outlineLevel="0" collapsed="false">
      <c r="A29" s="0" t="s">
        <v>343</v>
      </c>
      <c r="B29" s="7" t="n">
        <f aca="false">B28*12</f>
        <v>2104564.41573273</v>
      </c>
      <c r="C29" s="7" t="n">
        <f aca="false">C28*12</f>
        <v>1781349.81811608</v>
      </c>
      <c r="D29" s="7" t="n">
        <f aca="false">D28*12</f>
        <v>1675957.99322687</v>
      </c>
    </row>
    <row r="30" customFormat="false" ht="15" hidden="false" customHeight="false" outlineLevel="0" collapsed="false">
      <c r="A30" s="0" t="s">
        <v>344</v>
      </c>
      <c r="B30" s="12" t="n">
        <f aca="false">B27*B32</f>
        <v>562.896179517347</v>
      </c>
      <c r="C30" s="12" t="n">
        <f aca="false">C27*C32</f>
        <v>297.091281693979</v>
      </c>
      <c r="D30" s="12" t="n">
        <f aca="false">D27*D32</f>
        <v>179.768078029963</v>
      </c>
    </row>
    <row r="31" customFormat="false" ht="15" hidden="false" customHeight="false" outlineLevel="0" collapsed="false">
      <c r="A31" s="0" t="s">
        <v>345</v>
      </c>
      <c r="B31" s="12" t="n">
        <f aca="false">B30/B33</f>
        <v>4288732.79632264</v>
      </c>
      <c r="C31" s="12" t="n">
        <f aca="false">C30/C33</f>
        <v>660202.848208841</v>
      </c>
      <c r="D31" s="12" t="n">
        <f aca="false">D30/D33</f>
        <v>116732.518201275</v>
      </c>
    </row>
    <row r="32" customFormat="false" ht="15" hidden="false" customHeight="false" outlineLevel="0" collapsed="false">
      <c r="A32" s="0" t="s">
        <v>346</v>
      </c>
      <c r="B32" s="13" t="n">
        <f aca="false">Model!$C$28*Model!$C$35+Model!$C$29*Model!$C$36+Model!$C$30*Model!$C$37</f>
        <v>0.1046</v>
      </c>
      <c r="C32" s="13" t="n">
        <f aca="false">Model!$D$28*Model!$D$35+Model!$D$29*Model!$D$36+Model!$D$30*Model!$D$37</f>
        <v>0.075</v>
      </c>
      <c r="D32" s="13" t="n">
        <f aca="false">Model!$E$28*Model!$E$35+Model!$E$29*Model!$E$36+Model!$E$30*Model!$E$37</f>
        <v>0.05675</v>
      </c>
    </row>
    <row r="33" customFormat="false" ht="15" hidden="false" customHeight="false" outlineLevel="0" collapsed="false">
      <c r="A33" s="0" t="s">
        <v>347</v>
      </c>
      <c r="B33" s="9" t="n">
        <f aca="false">Model!$C$25*Model!$C$26*Model!$C$27</f>
        <v>0.00013125</v>
      </c>
      <c r="C33" s="9" t="n">
        <f aca="false">Model!$D$25*Model!$D$26*Model!$D$27</f>
        <v>0.00045</v>
      </c>
      <c r="D33" s="9" t="n">
        <f aca="false">Model!$E$25*Model!$E$26*Model!$E$27</f>
        <v>0.00154</v>
      </c>
    </row>
    <row r="34" customFormat="false" ht="15" hidden="false" customHeight="false" outlineLevel="0" collapsed="false">
      <c r="A34" s="0" t="s">
        <v>348</v>
      </c>
      <c r="B34" s="31" t="n">
        <f aca="false">B17/B9</f>
        <v>0.66103940064749</v>
      </c>
      <c r="C34" s="31" t="n">
        <f aca="false">C17/C9</f>
        <v>0.780980796613719</v>
      </c>
      <c r="D34" s="31" t="n">
        <f aca="false">D17/D9</f>
        <v>0.830092404238247</v>
      </c>
    </row>
    <row r="36" customFormat="false" ht="69.75" hidden="false" customHeight="true" outlineLevel="0" collapsed="false">
      <c r="A36" s="4" t="s">
        <v>349</v>
      </c>
      <c r="B36" s="4"/>
      <c r="C36" s="4"/>
      <c r="D36" s="4"/>
      <c r="E36" s="4"/>
      <c r="F36" s="4"/>
      <c r="G36" s="4"/>
    </row>
  </sheetData>
  <mergeCells count="2">
    <mergeCell ref="A2:G2"/>
    <mergeCell ref="A36: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66"/>
    <col collapsed="false" customWidth="true" hidden="false" outlineLevel="0" max="4" min="2" style="0" width="18"/>
  </cols>
  <sheetData>
    <row r="1" customFormat="false" ht="17.35" hidden="false" customHeight="false" outlineLevel="0" collapsed="false">
      <c r="A1" s="3" t="s">
        <v>350</v>
      </c>
    </row>
    <row r="2" customFormat="false" ht="39.75" hidden="false" customHeight="true" outlineLevel="0" collapsed="false">
      <c r="A2" s="4" t="s">
        <v>351</v>
      </c>
      <c r="B2" s="4"/>
      <c r="C2" s="4"/>
      <c r="D2" s="4"/>
    </row>
    <row r="4" customFormat="false" ht="15" hidden="false" customHeight="false" outlineLevel="0" collapsed="false">
      <c r="A4" s="5"/>
      <c r="B4" s="5" t="s">
        <v>352</v>
      </c>
      <c r="C4" s="5" t="s">
        <v>353</v>
      </c>
    </row>
    <row r="5" customFormat="false" ht="15" hidden="false" customHeight="false" outlineLevel="0" collapsed="false">
      <c r="A5" s="0" t="s">
        <v>13</v>
      </c>
      <c r="B5" s="61" t="n">
        <v>2000</v>
      </c>
      <c r="C5" s="61" t="n">
        <v>10000</v>
      </c>
    </row>
    <row r="6" customFormat="false" ht="15" hidden="false" customHeight="false" outlineLevel="0" collapsed="false">
      <c r="A6" s="0" t="s">
        <v>354</v>
      </c>
      <c r="B6" s="35" t="n">
        <v>45</v>
      </c>
      <c r="C6" s="35" t="n">
        <v>45</v>
      </c>
    </row>
    <row r="7" customFormat="false" ht="15" hidden="false" customHeight="false" outlineLevel="0" collapsed="false">
      <c r="A7" s="0" t="s">
        <v>355</v>
      </c>
      <c r="B7" s="7" t="n">
        <f aca="false">B5*B6</f>
        <v>90000</v>
      </c>
      <c r="C7" s="7" t="n">
        <f aca="false">C5*C6</f>
        <v>450000</v>
      </c>
    </row>
    <row r="8" customFormat="false" ht="15" hidden="false" customHeight="false" outlineLevel="0" collapsed="false">
      <c r="A8" s="6" t="s">
        <v>356</v>
      </c>
      <c r="B8" s="7" t="n">
        <f aca="false">B7*12</f>
        <v>1080000</v>
      </c>
      <c r="C8" s="7" t="n">
        <f aca="false">C7*12</f>
        <v>5400000</v>
      </c>
    </row>
    <row r="10" customFormat="false" ht="15" hidden="false" customHeight="false" outlineLevel="0" collapsed="false">
      <c r="A10" s="6" t="s">
        <v>357</v>
      </c>
    </row>
    <row r="11" customFormat="false" ht="15" hidden="false" customHeight="false" outlineLevel="0" collapsed="false">
      <c r="A11" s="0" t="s">
        <v>201</v>
      </c>
      <c r="B11" s="7" t="n">
        <f aca="false">-B7*Model!$D$15</f>
        <v>-2700</v>
      </c>
      <c r="C11" s="7" t="n">
        <f aca="false">-C7*Model!$D$15</f>
        <v>-13500</v>
      </c>
    </row>
    <row r="12" customFormat="false" ht="15" hidden="false" customHeight="false" outlineLevel="0" collapsed="false">
      <c r="A12" s="0" t="s">
        <v>358</v>
      </c>
      <c r="B12" s="7" t="n">
        <f aca="false">-(B7*(Model!$D$9+Model!$D$11*Model!$D$12)+B5*(Model!$D$10+Model!$D$14*Model!$D$13))</f>
        <v>-3765</v>
      </c>
      <c r="C12" s="7" t="n">
        <f aca="false">-(C7*(Model!$D$9+Model!$D$11*Model!$D$12)+C5*(Model!$D$10+Model!$D$14*Model!$D$13))</f>
        <v>-18825</v>
      </c>
    </row>
    <row r="13" customFormat="false" ht="15" hidden="false" customHeight="false" outlineLevel="0" collapsed="false">
      <c r="A13" s="0" t="s">
        <v>359</v>
      </c>
      <c r="B13" s="7" t="n">
        <f aca="false">-B5*Model!$D$42*Model!$D$40</f>
        <v>-5922.5880918299</v>
      </c>
      <c r="C13" s="7" t="n">
        <f aca="false">-C5*Model!$D$42*Model!$D$40</f>
        <v>-29612.9404591495</v>
      </c>
    </row>
    <row r="14" customFormat="false" ht="15" hidden="false" customHeight="false" outlineLevel="0" collapsed="false">
      <c r="A14" s="0" t="s">
        <v>360</v>
      </c>
      <c r="B14" s="7" t="n">
        <f aca="false">-B5*Model!$D$45</f>
        <v>-3000</v>
      </c>
      <c r="C14" s="7" t="n">
        <f aca="false">-C5*Model!$D$45</f>
        <v>-15000</v>
      </c>
    </row>
    <row r="15" customFormat="false" ht="15" hidden="false" customHeight="false" outlineLevel="0" collapsed="false">
      <c r="A15" s="0" t="s">
        <v>361</v>
      </c>
      <c r="B15" s="7" t="n">
        <f aca="false">(B13+B14)*Model!$D$18</f>
        <v>-490.742345050644</v>
      </c>
      <c r="C15" s="7" t="n">
        <f aca="false">(C13+C14)*Model!$D$18</f>
        <v>-2453.71172525322</v>
      </c>
    </row>
    <row r="16" customFormat="false" ht="15" hidden="false" customHeight="false" outlineLevel="0" collapsed="false">
      <c r="A16" s="0" t="s">
        <v>218</v>
      </c>
      <c r="B16" s="7" t="n">
        <f aca="false">-B5*Model!$D$55/60*Model!$D$56</f>
        <v>-4000</v>
      </c>
      <c r="C16" s="7" t="n">
        <f aca="false">-C5*Model!$D$55/60*Model!$D$56</f>
        <v>-20000</v>
      </c>
    </row>
    <row r="17" customFormat="false" ht="15" hidden="false" customHeight="false" outlineLevel="0" collapsed="false">
      <c r="A17" s="0" t="s">
        <v>362</v>
      </c>
      <c r="B17" s="7" t="n">
        <f aca="false">-(Model!$D$53+Model!$D$54*B5*2)</f>
        <v>-180</v>
      </c>
      <c r="C17" s="7" t="n">
        <f aca="false">-(Model!$D$53+Model!$D$54*C5*2)</f>
        <v>-660</v>
      </c>
    </row>
    <row r="18" customFormat="false" ht="15" hidden="false" customHeight="false" outlineLevel="0" collapsed="false">
      <c r="A18" s="0" t="s">
        <v>363</v>
      </c>
      <c r="B18" s="7" t="n">
        <f aca="false">-Model!$D$57</f>
        <v>-40</v>
      </c>
      <c r="C18" s="7" t="n">
        <f aca="false">-Model!$D$57</f>
        <v>-40</v>
      </c>
    </row>
    <row r="19" customFormat="false" ht="15" hidden="false" customHeight="false" outlineLevel="0" collapsed="false">
      <c r="A19" s="6" t="s">
        <v>364</v>
      </c>
      <c r="B19" s="7" t="n">
        <f aca="false">B7+SUM(B11:B18)</f>
        <v>69901.6695631195</v>
      </c>
      <c r="C19" s="7" t="n">
        <f aca="false">C7+SUM(C11:C18)</f>
        <v>349908.347815597</v>
      </c>
    </row>
    <row r="20" customFormat="false" ht="15" hidden="false" customHeight="false" outlineLevel="0" collapsed="false">
      <c r="A20" s="0" t="s">
        <v>365</v>
      </c>
      <c r="B20" s="7" t="n">
        <f aca="false">B19*12</f>
        <v>838820.034757434</v>
      </c>
      <c r="C20" s="7" t="n">
        <f aca="false">C19*12</f>
        <v>4198900.17378717</v>
      </c>
    </row>
    <row r="21" customFormat="false" ht="15" hidden="false" customHeight="false" outlineLevel="0" collapsed="false">
      <c r="A21" s="0" t="s">
        <v>366</v>
      </c>
      <c r="B21" s="31" t="n">
        <f aca="false">B20/B8</f>
        <v>0.776685217367994</v>
      </c>
      <c r="C21" s="31" t="n">
        <f aca="false">C20/C8</f>
        <v>0.777574106256883</v>
      </c>
    </row>
    <row r="23" customFormat="false" ht="39.75" hidden="false" customHeight="true" outlineLevel="0" collapsed="false">
      <c r="A23" s="4" t="s">
        <v>367</v>
      </c>
      <c r="B23" s="4"/>
      <c r="C23" s="4"/>
      <c r="D23" s="4"/>
    </row>
  </sheetData>
  <mergeCells count="2">
    <mergeCell ref="A2:D2"/>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70"/>
    <col collapsed="false" customWidth="true" hidden="false" outlineLevel="0" max="4" min="2" style="0" width="18"/>
  </cols>
  <sheetData>
    <row r="1" customFormat="false" ht="17.35" hidden="false" customHeight="false" outlineLevel="0" collapsed="false">
      <c r="A1" s="3" t="s">
        <v>368</v>
      </c>
    </row>
    <row r="3" customFormat="false" ht="15" hidden="false" customHeight="false" outlineLevel="0" collapsed="false">
      <c r="A3" s="6" t="s">
        <v>369</v>
      </c>
    </row>
    <row r="4" customFormat="false" ht="15" hidden="false" customHeight="false" outlineLevel="0" collapsed="false">
      <c r="A4" s="0" t="s">
        <v>370</v>
      </c>
      <c r="B4" s="25" t="n">
        <v>300</v>
      </c>
    </row>
    <row r="5" customFormat="false" ht="15" hidden="false" customHeight="false" outlineLevel="0" collapsed="false">
      <c r="A5" s="0" t="s">
        <v>371</v>
      </c>
      <c r="B5" s="36" t="n">
        <f aca="false">B4*0.002/1.1</f>
        <v>0.545454545454545</v>
      </c>
    </row>
    <row r="6" customFormat="false" ht="15" hidden="false" customHeight="false" outlineLevel="0" collapsed="false">
      <c r="A6" s="0" t="s">
        <v>372</v>
      </c>
      <c r="B6" s="63" t="n">
        <v>2</v>
      </c>
    </row>
    <row r="7" customFormat="false" ht="15" hidden="false" customHeight="false" outlineLevel="0" collapsed="false">
      <c r="A7" s="0" t="s">
        <v>373</v>
      </c>
      <c r="B7" s="63" t="n">
        <v>5</v>
      </c>
    </row>
    <row r="8" customFormat="false" ht="15" hidden="false" customHeight="false" outlineLevel="0" collapsed="false">
      <c r="A8" s="0" t="s">
        <v>374</v>
      </c>
      <c r="B8" s="36" t="n">
        <f aca="false">B5*B6</f>
        <v>1.09090909090909</v>
      </c>
    </row>
    <row r="9" customFormat="false" ht="15" hidden="false" customHeight="false" outlineLevel="0" collapsed="false">
      <c r="A9" s="0" t="s">
        <v>375</v>
      </c>
      <c r="B9" s="36" t="n">
        <f aca="false">B8*B7</f>
        <v>5.45454545454545</v>
      </c>
    </row>
    <row r="10" customFormat="false" ht="15" hidden="false" customHeight="false" outlineLevel="0" collapsed="false">
      <c r="A10" s="0" t="s">
        <v>376</v>
      </c>
      <c r="B10" s="21" t="n">
        <v>0.25</v>
      </c>
    </row>
    <row r="11" customFormat="false" ht="15" hidden="false" customHeight="false" outlineLevel="0" collapsed="false">
      <c r="A11" s="0" t="s">
        <v>377</v>
      </c>
      <c r="B11" s="36" t="n">
        <f aca="false">B9*(1+B10)</f>
        <v>6.81818181818182</v>
      </c>
    </row>
    <row r="12" customFormat="false" ht="15" hidden="false" customHeight="false" outlineLevel="0" collapsed="false">
      <c r="A12" s="0" t="s">
        <v>378</v>
      </c>
      <c r="B12" s="25" t="n">
        <v>50</v>
      </c>
    </row>
    <row r="13" customFormat="false" ht="15" hidden="false" customHeight="false" outlineLevel="0" collapsed="false">
      <c r="A13" s="0" t="s">
        <v>379</v>
      </c>
      <c r="B13" s="7" t="n">
        <f aca="false">B11*B12</f>
        <v>340.909090909091</v>
      </c>
    </row>
    <row r="14" customFormat="false" ht="15" hidden="false" customHeight="false" outlineLevel="0" collapsed="false">
      <c r="A14" s="0" t="s">
        <v>380</v>
      </c>
      <c r="B14" s="36" t="n">
        <f aca="false">3*(Model!$D$6*(1-Model!$D$15)-(Model!$D$6*Model!$D$9+Model!$D$10)-Model!$D$41*Model!$D$40*(1+Model!$D$18))</f>
        <v>51.6349261477196</v>
      </c>
    </row>
    <row r="16" customFormat="false" ht="43.5" hidden="false" customHeight="true" outlineLevel="0" collapsed="false">
      <c r="A16" s="4" t="s">
        <v>381</v>
      </c>
      <c r="B16" s="4"/>
      <c r="C16" s="4"/>
      <c r="D16" s="4"/>
    </row>
    <row r="18" customFormat="false" ht="15" hidden="false" customHeight="false" outlineLevel="0" collapsed="false">
      <c r="A18" s="6" t="s">
        <v>382</v>
      </c>
    </row>
    <row r="19" customFormat="false" ht="15" hidden="false" customHeight="false" outlineLevel="0" collapsed="false">
      <c r="A19" s="0" t="s">
        <v>383</v>
      </c>
      <c r="B19" s="43" t="n">
        <v>149</v>
      </c>
    </row>
    <row r="20" customFormat="false" ht="15" hidden="false" customHeight="false" outlineLevel="0" collapsed="false">
      <c r="A20" s="0" t="s">
        <v>384</v>
      </c>
      <c r="B20" s="25" t="n">
        <v>100</v>
      </c>
    </row>
    <row r="21" customFormat="false" ht="15" hidden="false" customHeight="false" outlineLevel="0" collapsed="false">
      <c r="A21" s="0" t="s">
        <v>385</v>
      </c>
      <c r="B21" s="7" t="n">
        <f aca="false">B19*B20</f>
        <v>14900</v>
      </c>
    </row>
    <row r="22" customFormat="false" ht="15" hidden="false" customHeight="false" outlineLevel="0" collapsed="false">
      <c r="A22" s="0" t="s">
        <v>386</v>
      </c>
      <c r="B22" s="7" t="n">
        <f aca="false">B20*(B19*Model!$D$9+Model!$D$10)</f>
        <v>432.3</v>
      </c>
    </row>
    <row r="23" customFormat="false" ht="15" hidden="false" customHeight="false" outlineLevel="0" collapsed="false">
      <c r="A23" s="0" t="s">
        <v>387</v>
      </c>
      <c r="B23" s="36" t="n">
        <f aca="false">Model!$D$41*Model!$D$40*(1+Model!$D$18)</f>
        <v>1.33892795076012</v>
      </c>
    </row>
    <row r="24" customFormat="false" ht="15" hidden="false" customHeight="false" outlineLevel="0" collapsed="false">
      <c r="A24" s="0" t="s">
        <v>388</v>
      </c>
      <c r="B24" s="63" t="n">
        <v>36</v>
      </c>
    </row>
    <row r="25" customFormat="false" ht="15" hidden="false" customHeight="false" outlineLevel="0" collapsed="false">
      <c r="A25" s="0" t="s">
        <v>389</v>
      </c>
      <c r="B25" s="7" t="n">
        <f aca="false">B20*B23*B24</f>
        <v>4820.14062273642</v>
      </c>
    </row>
    <row r="26" customFormat="false" ht="15" hidden="false" customHeight="false" outlineLevel="0" collapsed="false">
      <c r="A26" s="0" t="s">
        <v>390</v>
      </c>
      <c r="B26" s="7" t="n">
        <f aca="false">B21-B22-B25</f>
        <v>9647.55937726358</v>
      </c>
    </row>
    <row r="27" customFormat="false" ht="15" hidden="false" customHeight="false" outlineLevel="0" collapsed="false">
      <c r="A27" s="0" t="s">
        <v>391</v>
      </c>
      <c r="B27" s="58" t="n">
        <f aca="false">(B19-B19*Model!$D$9-Model!$D$10)/B23</f>
        <v>108.05435790467</v>
      </c>
    </row>
    <row r="29" customFormat="false" ht="43.5" hidden="false" customHeight="true" outlineLevel="0" collapsed="false">
      <c r="A29" s="4" t="s">
        <v>392</v>
      </c>
      <c r="B29" s="4"/>
      <c r="C29" s="4"/>
      <c r="D29" s="4"/>
    </row>
  </sheetData>
  <mergeCells count="2">
    <mergeCell ref="A16:D16"/>
    <mergeCell ref="A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6"/>
    <col collapsed="false" customWidth="true" hidden="false" outlineLevel="0" max="2" min="2" style="0" width="64"/>
    <col collapsed="false" customWidth="true" hidden="false" outlineLevel="0" max="3" min="3" style="0" width="70"/>
    <col collapsed="false" customWidth="true" hidden="false" outlineLevel="0" max="4" min="4" style="0" width="44"/>
  </cols>
  <sheetData>
    <row r="1" customFormat="false" ht="15" hidden="false" customHeight="false" outlineLevel="0" collapsed="false">
      <c r="A1" s="5" t="s">
        <v>393</v>
      </c>
      <c r="B1" s="5" t="s">
        <v>394</v>
      </c>
      <c r="C1" s="5" t="s">
        <v>395</v>
      </c>
      <c r="D1" s="5" t="s">
        <v>396</v>
      </c>
    </row>
    <row r="2" customFormat="false" ht="28.35" hidden="false" customHeight="false" outlineLevel="0" collapsed="false">
      <c r="A2" s="2" t="s">
        <v>397</v>
      </c>
      <c r="B2" s="2" t="s">
        <v>398</v>
      </c>
      <c r="C2" s="2" t="s">
        <v>399</v>
      </c>
      <c r="D2" s="2" t="s">
        <v>400</v>
      </c>
    </row>
    <row r="3" customFormat="false" ht="15" hidden="false" customHeight="false" outlineLevel="0" collapsed="false">
      <c r="A3" s="2" t="s">
        <v>401</v>
      </c>
      <c r="B3" s="2" t="s">
        <v>402</v>
      </c>
      <c r="C3" s="2" t="s">
        <v>403</v>
      </c>
      <c r="D3" s="2" t="s">
        <v>404</v>
      </c>
    </row>
    <row r="4" customFormat="false" ht="15" hidden="false" customHeight="false" outlineLevel="0" collapsed="false">
      <c r="A4" s="2" t="s">
        <v>405</v>
      </c>
      <c r="B4" s="2" t="s">
        <v>406</v>
      </c>
      <c r="C4" s="2" t="s">
        <v>407</v>
      </c>
      <c r="D4" s="2" t="s">
        <v>408</v>
      </c>
    </row>
    <row r="5" customFormat="false" ht="15" hidden="false" customHeight="false" outlineLevel="0" collapsed="false">
      <c r="A5" s="2" t="s">
        <v>409</v>
      </c>
      <c r="B5" s="2" t="s">
        <v>410</v>
      </c>
      <c r="C5" s="2" t="s">
        <v>411</v>
      </c>
      <c r="D5" s="2" t="s">
        <v>412</v>
      </c>
    </row>
    <row r="6" customFormat="false" ht="15" hidden="false" customHeight="false" outlineLevel="0" collapsed="false">
      <c r="A6" s="2" t="s">
        <v>413</v>
      </c>
      <c r="B6" s="2" t="s">
        <v>414</v>
      </c>
      <c r="C6" s="2" t="s">
        <v>415</v>
      </c>
      <c r="D6" s="2" t="s">
        <v>416</v>
      </c>
    </row>
    <row r="7" customFormat="false" ht="15" hidden="false" customHeight="false" outlineLevel="0" collapsed="false">
      <c r="A7" s="2" t="s">
        <v>417</v>
      </c>
      <c r="B7" s="2" t="s">
        <v>418</v>
      </c>
      <c r="C7" s="2" t="s">
        <v>419</v>
      </c>
      <c r="D7" s="2" t="s">
        <v>420</v>
      </c>
    </row>
    <row r="8" customFormat="false" ht="15" hidden="false" customHeight="false" outlineLevel="0" collapsed="false">
      <c r="A8" s="2" t="s">
        <v>421</v>
      </c>
      <c r="B8" s="2" t="s">
        <v>422</v>
      </c>
      <c r="C8" s="2" t="s">
        <v>423</v>
      </c>
      <c r="D8" s="2" t="s">
        <v>424</v>
      </c>
    </row>
    <row r="9" customFormat="false" ht="15" hidden="false" customHeight="false" outlineLevel="0" collapsed="false">
      <c r="A9" s="2" t="s">
        <v>425</v>
      </c>
      <c r="B9" s="2" t="s">
        <v>426</v>
      </c>
      <c r="C9" s="2" t="s">
        <v>427</v>
      </c>
      <c r="D9" s="2" t="s">
        <v>428</v>
      </c>
    </row>
    <row r="10" customFormat="false" ht="15" hidden="false" customHeight="false" outlineLevel="0" collapsed="false">
      <c r="A10" s="2" t="s">
        <v>429</v>
      </c>
      <c r="B10" s="2" t="s">
        <v>430</v>
      </c>
      <c r="C10" s="2" t="s">
        <v>431</v>
      </c>
      <c r="D10" s="2" t="s">
        <v>432</v>
      </c>
    </row>
    <row r="11" customFormat="false" ht="15" hidden="false" customHeight="false" outlineLevel="0" collapsed="false">
      <c r="A11" s="2" t="s">
        <v>433</v>
      </c>
      <c r="B11" s="2" t="s">
        <v>434</v>
      </c>
      <c r="C11" s="2" t="s">
        <v>435</v>
      </c>
      <c r="D11" s="2" t="s">
        <v>436</v>
      </c>
    </row>
    <row r="12" customFormat="false" ht="15" hidden="false" customHeight="false" outlineLevel="0" collapsed="false">
      <c r="A12" s="2" t="s">
        <v>437</v>
      </c>
      <c r="B12" s="2" t="s">
        <v>438</v>
      </c>
      <c r="C12" s="2" t="s">
        <v>439</v>
      </c>
      <c r="D12" s="2" t="s">
        <v>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2026-10-03T06:43:38Z</dcterms:created>
  <dc:creator>openpyxl</dc:creator>
  <dc:description/>
  <dc:language>en-US</dc:language>
  <cp:lastModifiedBy/>
  <dcterms:modified xsi:type="dcterms:W3CDTF">2026-10-03T06:43:38Z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